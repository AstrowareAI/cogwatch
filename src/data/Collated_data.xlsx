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GPT Growth Rates" sheetId="1" r:id="rId4"/>
    <sheet state="visible" name="Mental health" sheetId="2" r:id="rId5"/>
    <sheet state="visible" name="Population" sheetId="3" r:id="rId6"/>
    <sheet state="visible" name="Social Media" sheetId="4" r:id="rId7"/>
    <sheet state="visible" name="Cognitive Ability Index" sheetId="5" r:id="rId8"/>
    <sheet state="visible" name="AI Capability in completing lon" sheetId="6" r:id="rId9"/>
    <sheet state="visible" name="SCREEN_TIME_USAGE_HOURS" sheetId="7" r:id="rId10"/>
    <sheet state="visible" name="AI Incidents" sheetId="8" r:id="rId11"/>
  </sheets>
  <definedNames/>
  <calcPr/>
</workbook>
</file>

<file path=xl/sharedStrings.xml><?xml version="1.0" encoding="utf-8"?>
<sst xmlns="http://schemas.openxmlformats.org/spreadsheetml/2006/main" count="115" uniqueCount="97">
  <si>
    <t>Year</t>
  </si>
  <si>
    <t>Half</t>
  </si>
  <si>
    <t>WAU_Millions</t>
  </si>
  <si>
    <t>HoH_Growth_%</t>
  </si>
  <si>
    <t>YoY_Growth_%</t>
  </si>
  <si>
    <t>Total_Population_in_Billions</t>
  </si>
  <si>
    <t>%_of_Population_using_chatgpt</t>
  </si>
  <si>
    <t>Comments</t>
  </si>
  <si>
    <t>Source</t>
  </si>
  <si>
    <t>Citation_Link</t>
  </si>
  <si>
    <t>H2</t>
  </si>
  <si>
    <t>Launch (no data)</t>
  </si>
  <si>
    <t>OpenAI Blog – Introducing ChatGPT (Nov 30 2022)</t>
  </si>
  <si>
    <t>https://openai.com/blog/chatgpt — Official release announcement; no user metrics published.</t>
  </si>
  <si>
    <t>H1</t>
  </si>
  <si>
    <t>Initial adoption surge post-launch</t>
  </si>
  <si>
    <t>100M WAU milestone (DevDay)</t>
  </si>
  <si>
    <t>Reuters – OpenAI CEO Altman says ChatGPT has 100M WAU (Nov 6 2023)</t>
  </si>
  <si>
    <t>https://www.reuters.com/technology/openai-ceo-sam-altman-says-chatgpt-has-100-million-weekly-active-users-2023-11-06/</t>
  </si>
  <si>
    <t>Doubled users (Reuters Aug 2024)</t>
  </si>
  <si>
    <t>Reuters – ChatGPT’s weekly users reach 200M (Aug 29 2024)</t>
  </si>
  <si>
    <t>https://www.reuters.com/technology/artificial-intelligence/openai-says-chatgpts-weekly-users-have-grown-200-million-2024-08-29/</t>
  </si>
  <si>
    <t>Continued growth (DealBook Dec 2024)</t>
  </si>
  <si>
    <t>The Verge – ChatGPT now has 300M weekly users (Dec 4 2024)</t>
  </si>
  <si>
    <t>https://www.theverge.com/2024/12/4/24313097/chatgpt-300-million-weekly-users</t>
  </si>
  <si>
    <t>400M milestone (Reuters Feb 2025)</t>
  </si>
  <si>
    <t>Reuters – OpenAI’s weekly active users surpass 400M (Feb 20 2025)</t>
  </si>
  <si>
    <t>https://www.reuters.com/technology/artificial-intelligence/openais-weekly-active-users-surpass-400-million-2025-02-20/</t>
  </si>
  <si>
    <t>700–800M WAU range (TechCrunch Jul–Oct 2025)</t>
  </si>
  <si>
    <t>OpenAI Economic Research + TechCrunch – 700–800M WAU (Jul–Oct 2025)</t>
  </si>
  <si>
    <t>https://cdn.openai.com/pdf/a253471f-8260-40c6-a2cc-aa93fe9f142e/economic-research-chatgpt-usage-paper.pdf; https://techcrunch.com/2025/10/06/sam-altman-says-chatgpt-has-hit-800m-weekly-active-users</t>
  </si>
  <si>
    <t>Total_In_Million</t>
  </si>
  <si>
    <t>Total_In_Billion</t>
  </si>
  <si>
    <t>Population_In_Billion</t>
  </si>
  <si>
    <t>Number_of_Social_media_users_in_Billions</t>
  </si>
  <si>
    <t>Cognitive Index (2012 = 100)</t>
  </si>
  <si>
    <t>Annual Change (%)</t>
  </si>
  <si>
    <t>—</t>
  </si>
  <si>
    <t>−0.2%</t>
  </si>
  <si>
    <t>−0.3%</t>
  </si>
  <si>
    <t>−0.4%</t>
  </si>
  <si>
    <t>−0.5%</t>
  </si>
  <si>
    <t>−0.6%</t>
  </si>
  <si>
    <t>Month</t>
  </si>
  <si>
    <t>P50_Hours_Max</t>
  </si>
  <si>
    <t>P80_Hours_Max</t>
  </si>
  <si>
    <t>AverageScore_Mean</t>
  </si>
  <si>
    <t>Log_P50</t>
  </si>
  <si>
    <t>Log_P80</t>
  </si>
  <si>
    <t>2019-02</t>
  </si>
  <si>
    <t>2020-05</t>
  </si>
  <si>
    <t>2022-03</t>
  </si>
  <si>
    <t>2023-03</t>
  </si>
  <si>
    <t>2023-11</t>
  </si>
  <si>
    <t>2024-01</t>
  </si>
  <si>
    <t>2024-03</t>
  </si>
  <si>
    <t>2024-04</t>
  </si>
  <si>
    <t>2024-05</t>
  </si>
  <si>
    <t>2024-06</t>
  </si>
  <si>
    <t>2024-09</t>
  </si>
  <si>
    <t>2024-10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</si>
  <si>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</si>
  <si>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</si>
  <si>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</si>
  <si>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</si>
  <si>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</si>
  <si>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</si>
  <si>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</si>
  <si>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</si>
  <si>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</si>
  <si>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</si>
  <si>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Social Media Hours Per Day (Teens)</t>
  </si>
  <si>
    <t>Total Screen Time Hours Per Day (Teens)</t>
  </si>
  <si>
    <t>~0.5-1.0</t>
  </si>
  <si>
    <t>~4.5-5</t>
  </si>
  <si>
    <t>~1.0-1.5</t>
  </si>
  <si>
    <t>~5.0-5.5</t>
  </si>
  <si>
    <t>~1.5-2.0</t>
  </si>
  <si>
    <t>~6.0-6.5</t>
  </si>
  <si>
    <t>~2.0-2.5</t>
  </si>
  <si>
    <t>~6 hours 40 minutes</t>
  </si>
  <si>
    <t>~2.5-3.0</t>
  </si>
  <si>
    <t>~7 hours</t>
  </si>
  <si>
    <t>~3.0-3.5</t>
  </si>
  <si>
    <t>~7 hours 22 minutes</t>
  </si>
  <si>
    <t>~3.5-4.0</t>
  </si>
  <si>
    <t>~8 hours 39 minutes</t>
  </si>
  <si>
    <t>~4.0-4.8</t>
  </si>
  <si>
    <t>~7 hours (recovery)</t>
  </si>
  <si>
    <t>Discrimination &amp; Fairness</t>
  </si>
  <si>
    <t>Privacy &amp; Security</t>
  </si>
  <si>
    <t>Misinformation</t>
  </si>
  <si>
    <t>Malicious Actor Use</t>
  </si>
  <si>
    <t>Human–Computer Interaction</t>
  </si>
  <si>
    <t>Socio-Economic Impact</t>
  </si>
  <si>
    <t>AI System Safety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</si>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</sst>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2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shrinkToFit="0" wrapText="0"/>
    </xf>
    <xf borderId="0" fillId="2" fontId="1" numFmtId="0" xfId="0" applyAlignment="1" applyFont="1">
      <alignment readingOrder="0" shrinkToFit="0" wrapText="0"/>
    </xf>
    <xf borderId="0" fillId="3" fontId="1" numFmtId="0" xfId="0" applyAlignment="1" applyFill="1" applyFont="1">
      <alignment shrinkToFit="0" wrapText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8.0"/>
    <col customWidth="1" min="3" max="3" width="16.25"/>
    <col customWidth="1" min="4" max="4" width="16.0"/>
    <col customWidth="1" min="5" max="5" width="25.88"/>
    <col customWidth="1" min="6" max="6" width="23.0"/>
    <col customWidth="1" min="7" max="7" width="39.63"/>
    <col customWidth="1" min="8" max="8" width="51.88"/>
    <col customWidth="1" min="9" max="9" width="48.75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1">
        <v>2022.0</v>
      </c>
      <c r="B2" s="1" t="s">
        <v>10</v>
      </c>
      <c r="C2" s="3"/>
      <c r="D2" s="4"/>
      <c r="E2" s="4"/>
      <c r="F2" s="5">
        <f t="array" ref="F2">IFERROR(XLOOKUP(A2,Population!A:A,Population!B:B),"")</f>
        <v>7.99</v>
      </c>
      <c r="G2" s="6">
        <f t="shared" ref="G2:G8" si="1">IFERROR(C2/(F2*1000),"")</f>
        <v>0</v>
      </c>
      <c r="H2" s="1" t="s">
        <v>11</v>
      </c>
      <c r="I2" s="1" t="s">
        <v>12</v>
      </c>
      <c r="J2" s="1" t="s">
        <v>13</v>
      </c>
    </row>
    <row r="3">
      <c r="A3" s="1">
        <v>2023.0</v>
      </c>
      <c r="B3" s="1" t="s">
        <v>14</v>
      </c>
      <c r="C3" s="3">
        <v>70.0</v>
      </c>
      <c r="D3" s="4" t="str">
        <f t="shared" ref="D3:D8" si="2">IFERROR((C3-C2)/C2,"")</f>
        <v/>
      </c>
      <c r="E3" s="4"/>
      <c r="F3" s="5">
        <f t="array" ref="F3">IFERROR(XLOOKUP(A3,Population!A:A,Population!B:B),"")</f>
        <v>8.06</v>
      </c>
      <c r="G3" s="6">
        <f t="shared" si="1"/>
        <v>0.008684863524</v>
      </c>
      <c r="H3" s="1" t="s">
        <v>15</v>
      </c>
    </row>
    <row r="4">
      <c r="A4" s="1">
        <v>2023.0</v>
      </c>
      <c r="B4" s="1" t="s">
        <v>10</v>
      </c>
      <c r="C4" s="3">
        <v>100.0</v>
      </c>
      <c r="D4" s="4">
        <f t="shared" si="2"/>
        <v>0.4285714286</v>
      </c>
      <c r="E4" s="4" t="str">
        <f t="shared" ref="E4:E8" si="3">IFERROR((C4-C2)/C2,"")</f>
        <v/>
      </c>
      <c r="F4" s="5">
        <f t="array" ref="F4">IFERROR(XLOOKUP(A4,Population!A:A,Population!B:B),"")</f>
        <v>8.06</v>
      </c>
      <c r="G4" s="6">
        <f t="shared" si="1"/>
        <v>0.01240694789</v>
      </c>
      <c r="H4" s="1" t="s">
        <v>16</v>
      </c>
      <c r="I4" s="1" t="s">
        <v>17</v>
      </c>
      <c r="J4" s="1" t="s">
        <v>18</v>
      </c>
    </row>
    <row r="5">
      <c r="A5" s="1">
        <v>2024.0</v>
      </c>
      <c r="B5" s="1" t="s">
        <v>14</v>
      </c>
      <c r="C5" s="3">
        <v>200.0</v>
      </c>
      <c r="D5" s="4">
        <f t="shared" si="2"/>
        <v>1</v>
      </c>
      <c r="E5" s="4">
        <f t="shared" si="3"/>
        <v>1.857142857</v>
      </c>
      <c r="F5" s="5">
        <f t="array" ref="F5">IFERROR(XLOOKUP(A5,Population!A:A,Population!B:B),"")</f>
        <v>8.14</v>
      </c>
      <c r="G5" s="6">
        <f t="shared" si="1"/>
        <v>0.02457002457</v>
      </c>
      <c r="H5" s="1" t="s">
        <v>19</v>
      </c>
      <c r="I5" s="1" t="s">
        <v>20</v>
      </c>
      <c r="J5" s="1" t="s">
        <v>21</v>
      </c>
    </row>
    <row r="6">
      <c r="A6" s="1">
        <v>2024.0</v>
      </c>
      <c r="B6" s="1" t="s">
        <v>10</v>
      </c>
      <c r="C6" s="3">
        <v>300.0</v>
      </c>
      <c r="D6" s="4">
        <f t="shared" si="2"/>
        <v>0.5</v>
      </c>
      <c r="E6" s="4">
        <f t="shared" si="3"/>
        <v>2</v>
      </c>
      <c r="F6" s="5">
        <f t="array" ref="F6">IFERROR(XLOOKUP(A6,Population!A:A,Population!B:B),"")</f>
        <v>8.14</v>
      </c>
      <c r="G6" s="6">
        <f t="shared" si="1"/>
        <v>0.03685503686</v>
      </c>
      <c r="H6" s="1" t="s">
        <v>22</v>
      </c>
      <c r="I6" s="1" t="s">
        <v>23</v>
      </c>
      <c r="J6" s="1" t="s">
        <v>24</v>
      </c>
    </row>
    <row r="7">
      <c r="A7" s="1">
        <v>2025.0</v>
      </c>
      <c r="B7" s="1" t="s">
        <v>14</v>
      </c>
      <c r="C7" s="3">
        <v>400.0</v>
      </c>
      <c r="D7" s="4">
        <f t="shared" si="2"/>
        <v>0.3333333333</v>
      </c>
      <c r="E7" s="4">
        <f t="shared" si="3"/>
        <v>1</v>
      </c>
      <c r="F7" s="5">
        <f t="array" ref="F7">IFERROR(XLOOKUP(A7,Population!A:A,Population!B:B),"")</f>
        <v>8.21</v>
      </c>
      <c r="G7" s="6">
        <f t="shared" si="1"/>
        <v>0.04872107186</v>
      </c>
      <c r="H7" s="1" t="s">
        <v>25</v>
      </c>
      <c r="I7" s="1" t="s">
        <v>26</v>
      </c>
      <c r="J7" s="1" t="s">
        <v>27</v>
      </c>
    </row>
    <row r="8">
      <c r="A8" s="1">
        <v>2025.0</v>
      </c>
      <c r="B8" s="1" t="s">
        <v>10</v>
      </c>
      <c r="C8" s="3">
        <v>750.0</v>
      </c>
      <c r="D8" s="4">
        <f t="shared" si="2"/>
        <v>0.875</v>
      </c>
      <c r="E8" s="4">
        <f t="shared" si="3"/>
        <v>1.5</v>
      </c>
      <c r="F8" s="5">
        <f t="array" ref="F8">IFERROR(XLOOKUP(A8,Population!A:A,Population!B:B),"")</f>
        <v>8.21</v>
      </c>
      <c r="G8" s="6">
        <f t="shared" si="1"/>
        <v>0.09135200974</v>
      </c>
      <c r="H8" s="1" t="s">
        <v>28</v>
      </c>
      <c r="I8" s="1" t="s">
        <v>29</v>
      </c>
      <c r="J8" s="1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88"/>
    <col customWidth="1" min="3" max="3" width="47.0"/>
    <col customWidth="1" min="4" max="4" width="42.63"/>
  </cols>
  <sheetData>
    <row r="1">
      <c r="A1" s="7" t="s">
        <v>0</v>
      </c>
      <c r="B1" s="7" t="s">
        <v>31</v>
      </c>
      <c r="C1" s="7" t="s">
        <v>32</v>
      </c>
      <c r="F1" s="7"/>
      <c r="G1" s="7"/>
      <c r="H1" s="7"/>
      <c r="I1" s="7"/>
      <c r="J1" s="7"/>
    </row>
    <row r="2">
      <c r="A2" s="2">
        <v>2012.0</v>
      </c>
      <c r="B2" s="2">
        <v>656.0</v>
      </c>
      <c r="C2" s="2">
        <v>0.66</v>
      </c>
      <c r="D2" s="8"/>
    </row>
    <row r="3">
      <c r="A3" s="2">
        <v>2013.0</v>
      </c>
      <c r="B3" s="2">
        <v>666.0</v>
      </c>
      <c r="C3" s="2">
        <v>0.67</v>
      </c>
    </row>
    <row r="4">
      <c r="A4" s="2">
        <v>2014.0</v>
      </c>
      <c r="B4" s="2">
        <v>679.0</v>
      </c>
      <c r="C4" s="2">
        <v>0.68</v>
      </c>
    </row>
    <row r="5">
      <c r="A5" s="2">
        <v>2015.0</v>
      </c>
      <c r="B5" s="2">
        <v>689.0</v>
      </c>
      <c r="C5" s="2">
        <v>0.69</v>
      </c>
    </row>
    <row r="6">
      <c r="A6" s="2">
        <v>2016.0</v>
      </c>
      <c r="B6" s="2">
        <v>701.0</v>
      </c>
      <c r="C6" s="2">
        <v>0.7</v>
      </c>
    </row>
    <row r="7">
      <c r="A7" s="2">
        <v>2017.0</v>
      </c>
      <c r="B7" s="2">
        <v>711.0</v>
      </c>
      <c r="C7" s="2">
        <v>0.71</v>
      </c>
    </row>
    <row r="8">
      <c r="A8" s="2">
        <v>2018.0</v>
      </c>
      <c r="B8" s="2">
        <v>723.0</v>
      </c>
      <c r="C8" s="2">
        <v>0.72</v>
      </c>
    </row>
    <row r="9">
      <c r="A9" s="2">
        <v>2019.0</v>
      </c>
      <c r="B9" s="2">
        <v>744.0</v>
      </c>
      <c r="C9" s="2">
        <v>0.74</v>
      </c>
    </row>
    <row r="10">
      <c r="A10" s="2">
        <v>2020.0</v>
      </c>
      <c r="B10" s="2">
        <v>785.0</v>
      </c>
      <c r="C10" s="2">
        <v>0.79</v>
      </c>
    </row>
    <row r="11">
      <c r="A11" s="2">
        <v>2021.0</v>
      </c>
      <c r="B11" s="2">
        <v>808.0</v>
      </c>
      <c r="C11" s="2">
        <v>0.81</v>
      </c>
    </row>
    <row r="12">
      <c r="A12" s="2">
        <v>2022.0</v>
      </c>
      <c r="B12" s="9">
        <v>900.0</v>
      </c>
      <c r="C12" s="2">
        <v>0.9</v>
      </c>
      <c r="D12" s="8"/>
    </row>
    <row r="13">
      <c r="A13" s="2">
        <v>2023.0</v>
      </c>
      <c r="B13" s="9">
        <v>932.0</v>
      </c>
      <c r="C13" s="2">
        <v>0.932</v>
      </c>
    </row>
    <row r="14">
      <c r="A14" s="2">
        <v>2024.0</v>
      </c>
      <c r="B14" s="2">
        <v>970.0</v>
      </c>
      <c r="C14" s="2">
        <v>0.97</v>
      </c>
    </row>
  </sheetData>
  <mergeCells count="2">
    <mergeCell ref="D2:D11"/>
    <mergeCell ref="D12: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0.0"/>
    <col customWidth="1" min="3" max="3" width="71.13"/>
    <col customWidth="1" min="4" max="26" width="7.63"/>
  </cols>
  <sheetData>
    <row r="1">
      <c r="A1" s="1" t="s">
        <v>0</v>
      </c>
      <c r="B1" s="2" t="s">
        <v>33</v>
      </c>
    </row>
    <row r="2">
      <c r="A2" s="2">
        <v>2012.0</v>
      </c>
      <c r="B2" s="10">
        <v>7.18</v>
      </c>
      <c r="C2" s="8"/>
    </row>
    <row r="3">
      <c r="A3" s="2">
        <v>2013.0</v>
      </c>
      <c r="B3" s="10">
        <v>7.27</v>
      </c>
    </row>
    <row r="4">
      <c r="A4" s="2">
        <v>2014.0</v>
      </c>
      <c r="B4" s="10">
        <v>7.35</v>
      </c>
    </row>
    <row r="5">
      <c r="A5" s="2">
        <v>2015.0</v>
      </c>
      <c r="B5" s="10">
        <v>7.44</v>
      </c>
    </row>
    <row r="6">
      <c r="A6" s="2">
        <v>2016.0</v>
      </c>
      <c r="B6" s="2">
        <v>7.53</v>
      </c>
    </row>
    <row r="7">
      <c r="A7" s="2">
        <v>2017.0</v>
      </c>
      <c r="B7" s="2">
        <v>7.61</v>
      </c>
    </row>
    <row r="8">
      <c r="A8" s="2">
        <v>2018.0</v>
      </c>
      <c r="B8" s="2">
        <v>7.7</v>
      </c>
    </row>
    <row r="9">
      <c r="A9" s="2">
        <v>2019.0</v>
      </c>
      <c r="B9" s="2">
        <v>7.78</v>
      </c>
    </row>
    <row r="10">
      <c r="A10" s="2">
        <v>2020.0</v>
      </c>
      <c r="B10" s="2">
        <v>7.86</v>
      </c>
    </row>
    <row r="11">
      <c r="A11" s="2">
        <v>2021.0</v>
      </c>
      <c r="B11" s="2">
        <v>7.92</v>
      </c>
    </row>
    <row r="12">
      <c r="A12" s="1">
        <v>2022.0</v>
      </c>
      <c r="B12" s="10">
        <v>7.99</v>
      </c>
    </row>
    <row r="13">
      <c r="A13" s="1">
        <v>2023.0</v>
      </c>
      <c r="B13" s="10">
        <v>8.06</v>
      </c>
    </row>
    <row r="14">
      <c r="A14" s="1">
        <v>2024.0</v>
      </c>
      <c r="B14" s="10">
        <v>8.14</v>
      </c>
    </row>
    <row r="15">
      <c r="A15" s="1">
        <v>2025.0</v>
      </c>
      <c r="B15" s="5">
        <v>8.21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2:C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40.75"/>
    <col customWidth="1" min="3" max="3" width="40.0"/>
    <col customWidth="1" min="4" max="4" width="15.5"/>
    <col customWidth="1" min="5" max="7" width="12.63"/>
  </cols>
  <sheetData>
    <row r="1">
      <c r="A1" s="2" t="s">
        <v>0</v>
      </c>
      <c r="B1" s="2" t="s">
        <v>34</v>
      </c>
      <c r="D1" s="11"/>
    </row>
    <row r="2">
      <c r="A2" s="2">
        <v>2009.0</v>
      </c>
      <c r="B2" s="2">
        <v>0.97</v>
      </c>
      <c r="C2" s="8"/>
      <c r="D2" s="11"/>
    </row>
    <row r="3">
      <c r="A3" s="2">
        <v>2010.0</v>
      </c>
      <c r="B3" s="2">
        <v>1.22</v>
      </c>
      <c r="D3" s="11"/>
    </row>
    <row r="4">
      <c r="A4" s="2">
        <v>2011.0</v>
      </c>
      <c r="B4" s="2">
        <v>1.48</v>
      </c>
      <c r="D4" s="11"/>
    </row>
    <row r="5">
      <c r="A5" s="2">
        <v>2012.0</v>
      </c>
      <c r="B5" s="2">
        <v>1.73</v>
      </c>
      <c r="D5" s="11"/>
    </row>
    <row r="6">
      <c r="A6" s="2">
        <v>2013.0</v>
      </c>
      <c r="B6" s="2">
        <v>1.86</v>
      </c>
      <c r="D6" s="11"/>
    </row>
    <row r="7">
      <c r="A7" s="2">
        <v>2014.0</v>
      </c>
      <c r="B7" s="2">
        <v>2.05</v>
      </c>
    </row>
    <row r="8">
      <c r="A8" s="2">
        <v>2015.0</v>
      </c>
      <c r="B8" s="2">
        <v>2.28</v>
      </c>
    </row>
    <row r="9">
      <c r="A9" s="2">
        <v>2016.0</v>
      </c>
      <c r="B9" s="2">
        <v>2.5</v>
      </c>
    </row>
    <row r="10">
      <c r="A10" s="12">
        <v>2017.0</v>
      </c>
      <c r="B10" s="12">
        <v>2.73</v>
      </c>
      <c r="C10" s="13"/>
    </row>
    <row r="11">
      <c r="A11" s="14">
        <v>2018.0</v>
      </c>
      <c r="B11" s="14">
        <v>3.1</v>
      </c>
    </row>
    <row r="12">
      <c r="A12" s="12">
        <v>2019.0</v>
      </c>
      <c r="B12" s="12">
        <v>3.51</v>
      </c>
    </row>
    <row r="13">
      <c r="A13" s="14">
        <v>2020.0</v>
      </c>
      <c r="B13" s="14">
        <v>3.91</v>
      </c>
    </row>
    <row r="14">
      <c r="A14" s="12">
        <v>2021.0</v>
      </c>
      <c r="B14" s="12">
        <v>4.26</v>
      </c>
    </row>
    <row r="15">
      <c r="A15" s="14">
        <v>2022.0</v>
      </c>
      <c r="B15" s="14">
        <v>4.59</v>
      </c>
    </row>
    <row r="16">
      <c r="A16" s="12">
        <v>2023.0</v>
      </c>
      <c r="B16" s="12">
        <v>4.9</v>
      </c>
    </row>
    <row r="17">
      <c r="A17" s="14">
        <v>2024.0</v>
      </c>
      <c r="B17" s="14">
        <v>5.17</v>
      </c>
    </row>
  </sheetData>
  <mergeCells count="2">
    <mergeCell ref="C2:C9"/>
    <mergeCell ref="C10:C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13"/>
    <col customWidth="1" min="3" max="3" width="32.88"/>
    <col customWidth="1" min="4" max="4" width="149.25"/>
    <col customWidth="1" min="5" max="5" width="100.5"/>
  </cols>
  <sheetData>
    <row r="1">
      <c r="A1" s="7" t="s">
        <v>0</v>
      </c>
      <c r="B1" s="15" t="s">
        <v>35</v>
      </c>
      <c r="C1" s="15" t="s">
        <v>36</v>
      </c>
      <c r="D1" s="7"/>
    </row>
    <row r="2">
      <c r="A2" s="2">
        <v>2012.0</v>
      </c>
      <c r="B2" s="9">
        <v>100.0</v>
      </c>
      <c r="C2" s="9" t="s">
        <v>37</v>
      </c>
    </row>
    <row r="3">
      <c r="A3" s="2">
        <v>2013.0</v>
      </c>
      <c r="B3" s="9">
        <v>99.8</v>
      </c>
      <c r="C3" s="9" t="s">
        <v>38</v>
      </c>
    </row>
    <row r="4">
      <c r="A4" s="2">
        <v>2014.0</v>
      </c>
      <c r="B4" s="9">
        <v>99.6</v>
      </c>
      <c r="C4" s="9" t="s">
        <v>38</v>
      </c>
    </row>
    <row r="5">
      <c r="A5" s="2">
        <v>2015.0</v>
      </c>
      <c r="B5" s="9">
        <v>99.3</v>
      </c>
      <c r="C5" s="9" t="s">
        <v>39</v>
      </c>
    </row>
    <row r="6">
      <c r="A6" s="2">
        <v>2016.0</v>
      </c>
      <c r="B6" s="9">
        <v>99.1</v>
      </c>
      <c r="C6" s="9" t="s">
        <v>38</v>
      </c>
    </row>
    <row r="7">
      <c r="A7" s="2">
        <v>2017.0</v>
      </c>
      <c r="B7" s="9">
        <v>98.9</v>
      </c>
      <c r="C7" s="9" t="s">
        <v>38</v>
      </c>
    </row>
    <row r="8">
      <c r="A8" s="2">
        <v>2018.0</v>
      </c>
      <c r="B8" s="9">
        <v>98.6</v>
      </c>
      <c r="C8" s="9" t="s">
        <v>39</v>
      </c>
    </row>
    <row r="9">
      <c r="A9" s="2">
        <v>2019.0</v>
      </c>
      <c r="B9" s="9">
        <v>98.4</v>
      </c>
      <c r="C9" s="9" t="s">
        <v>38</v>
      </c>
    </row>
    <row r="10">
      <c r="A10" s="2">
        <v>2020.0</v>
      </c>
      <c r="B10" s="9">
        <v>98.0</v>
      </c>
      <c r="C10" s="9" t="s">
        <v>40</v>
      </c>
    </row>
    <row r="11">
      <c r="A11" s="2">
        <v>2021.0</v>
      </c>
      <c r="B11" s="9">
        <v>97.7</v>
      </c>
      <c r="C11" s="9" t="s">
        <v>39</v>
      </c>
    </row>
    <row r="12">
      <c r="A12" s="2">
        <v>2022.0</v>
      </c>
      <c r="B12" s="9">
        <v>97.2</v>
      </c>
      <c r="C12" s="9" t="s">
        <v>41</v>
      </c>
      <c r="D12" s="8"/>
    </row>
    <row r="13">
      <c r="A13" s="2">
        <v>2023.0</v>
      </c>
      <c r="B13" s="9">
        <v>96.6</v>
      </c>
      <c r="C13" s="9" t="s">
        <v>42</v>
      </c>
      <c r="D13" s="8"/>
    </row>
    <row r="14">
      <c r="A14" s="2">
        <v>2024.0</v>
      </c>
      <c r="B14" s="9">
        <v>96.1</v>
      </c>
      <c r="C14" s="9" t="s">
        <v>41</v>
      </c>
      <c r="D14" s="8"/>
    </row>
    <row r="17">
      <c r="B17" s="2"/>
    </row>
  </sheetData>
  <mergeCells count="1">
    <mergeCell ref="D20:D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>
      <c r="A2" s="1" t="s">
        <v>49</v>
      </c>
      <c r="B2" s="1">
        <v>0.039744</v>
      </c>
      <c r="C2" s="1">
        <v>0.005646</v>
      </c>
      <c r="D2" s="1">
        <v>0.101046</v>
      </c>
      <c r="E2" s="1">
        <v>-1.4007284258395327</v>
      </c>
      <c r="F2" s="1">
        <v>-2.2482591261890996</v>
      </c>
    </row>
    <row r="3">
      <c r="A3" s="1" t="s">
        <v>50</v>
      </c>
      <c r="B3" s="1">
        <v>0.148821</v>
      </c>
      <c r="C3" s="1">
        <v>0.034119</v>
      </c>
      <c r="D3" s="1">
        <v>0.161869</v>
      </c>
      <c r="E3" s="1">
        <v>-0.8273357815547965</v>
      </c>
      <c r="F3" s="1">
        <v>-1.4670037061342405</v>
      </c>
    </row>
    <row r="4">
      <c r="A4" s="1" t="s">
        <v>51</v>
      </c>
      <c r="B4" s="1">
        <v>0.604384</v>
      </c>
      <c r="C4" s="1">
        <v>0.173085</v>
      </c>
      <c r="D4" s="1">
        <v>0.214611</v>
      </c>
      <c r="E4" s="1">
        <v>-0.21868704136095246</v>
      </c>
      <c r="F4" s="1">
        <v>-0.7617405675925358</v>
      </c>
    </row>
    <row r="5">
      <c r="A5" s="1" t="s">
        <v>52</v>
      </c>
      <c r="B5" s="1">
        <v>5.364045</v>
      </c>
      <c r="C5" s="1">
        <v>0.965175</v>
      </c>
      <c r="D5" s="1">
        <v>0.361067</v>
      </c>
      <c r="E5" s="1">
        <v>0.7294924125743617</v>
      </c>
      <c r="F5" s="1">
        <v>-0.015393935729953265</v>
      </c>
    </row>
    <row r="6">
      <c r="A6" s="1" t="s">
        <v>53</v>
      </c>
      <c r="B6" s="1">
        <v>8.557433</v>
      </c>
      <c r="C6" s="1">
        <v>1.453006</v>
      </c>
      <c r="D6" s="1">
        <v>0.404329</v>
      </c>
      <c r="E6" s="1">
        <v>0.9323435075359799</v>
      </c>
      <c r="F6" s="1">
        <v>0.16226740766451248</v>
      </c>
    </row>
    <row r="7">
      <c r="A7" s="1" t="s">
        <v>54</v>
      </c>
      <c r="B7" s="1">
        <v>5.366063</v>
      </c>
      <c r="C7" s="1">
        <v>1.197496</v>
      </c>
      <c r="D7" s="1">
        <v>0.351726</v>
      </c>
      <c r="E7" s="1">
        <v>0.7296557671789591</v>
      </c>
      <c r="F7" s="1">
        <v>0.07827407141367473</v>
      </c>
    </row>
    <row r="8">
      <c r="A8" s="1" t="s">
        <v>55</v>
      </c>
      <c r="B8" s="1">
        <v>6.422825</v>
      </c>
      <c r="C8" s="1">
        <v>1.125572</v>
      </c>
      <c r="D8" s="1">
        <v>0.377459</v>
      </c>
      <c r="E8" s="1">
        <v>0.807726089136985</v>
      </c>
      <c r="F8" s="1">
        <v>0.05137328094699612</v>
      </c>
    </row>
    <row r="9">
      <c r="A9" s="1" t="s">
        <v>56</v>
      </c>
      <c r="B9" s="1">
        <v>6.567339</v>
      </c>
      <c r="C9" s="1">
        <v>1.523202</v>
      </c>
      <c r="D9" s="1">
        <v>0.367357</v>
      </c>
      <c r="E9" s="1">
        <v>0.8173894347479974</v>
      </c>
      <c r="F9" s="1">
        <v>0.1827575012796281</v>
      </c>
    </row>
    <row r="10">
      <c r="A10" s="1" t="s">
        <v>57</v>
      </c>
      <c r="B10" s="1">
        <v>9.17045</v>
      </c>
      <c r="C10" s="1">
        <v>1.689572</v>
      </c>
      <c r="D10" s="1">
        <v>0.407636</v>
      </c>
      <c r="E10" s="1">
        <v>0.9623906473081647</v>
      </c>
      <c r="F10" s="1">
        <v>0.22777670367908875</v>
      </c>
    </row>
    <row r="11">
      <c r="A11" s="1" t="s">
        <v>58</v>
      </c>
      <c r="B11" s="1">
        <v>18.216831</v>
      </c>
      <c r="C11" s="1">
        <v>3.19928</v>
      </c>
      <c r="D11" s="1">
        <v>0.387898</v>
      </c>
      <c r="E11" s="1">
        <v>1.2604728293375842</v>
      </c>
      <c r="F11" s="1">
        <v>0.5050522510667494</v>
      </c>
    </row>
    <row r="12">
      <c r="A12" s="1" t="s">
        <v>59</v>
      </c>
      <c r="B12" s="1">
        <v>22.095267</v>
      </c>
      <c r="C12" s="1">
        <v>4.61942</v>
      </c>
      <c r="D12" s="1">
        <v>0.425363</v>
      </c>
      <c r="E12" s="1">
        <v>1.3442992539601386</v>
      </c>
      <c r="F12" s="1">
        <v>0.6645874503153993</v>
      </c>
    </row>
    <row r="13">
      <c r="A13" s="1" t="s">
        <v>60</v>
      </c>
      <c r="B13" s="1">
        <v>28.983512</v>
      </c>
      <c r="C13" s="1">
        <v>4.640773</v>
      </c>
      <c r="D13" s="1">
        <v>0.52701</v>
      </c>
      <c r="E13" s="1">
        <v>1.462151008802793</v>
      </c>
      <c r="F13" s="1">
        <v>0.6665903257432154</v>
      </c>
    </row>
    <row r="14">
      <c r="A14" s="1" t="s">
        <v>61</v>
      </c>
      <c r="B14" s="1">
        <v>39.206576</v>
      </c>
      <c r="C14" s="1">
        <v>5.973358</v>
      </c>
      <c r="D14" s="1">
        <v>0.5164735</v>
      </c>
      <c r="E14" s="1">
        <v>1.5933589160253594</v>
      </c>
      <c r="F14" s="1">
        <v>0.7762185440062935</v>
      </c>
    </row>
    <row r="15">
      <c r="A15" s="1" t="s">
        <v>62</v>
      </c>
      <c r="B15" s="1">
        <v>26.932599</v>
      </c>
      <c r="C15" s="1">
        <v>4.332735</v>
      </c>
      <c r="D15" s="1">
        <v>0.519251</v>
      </c>
      <c r="E15" s="1">
        <v>1.4302782649189496</v>
      </c>
      <c r="F15" s="1">
        <v>0.6367621274010591</v>
      </c>
    </row>
    <row r="16">
      <c r="A16" s="1" t="s">
        <v>63</v>
      </c>
      <c r="B16" s="1">
        <v>54.226342</v>
      </c>
      <c r="C16" s="1">
        <v>15.156049</v>
      </c>
      <c r="D16" s="1">
        <v>0.599681</v>
      </c>
      <c r="E16" s="1">
        <v>1.7342103087910306</v>
      </c>
      <c r="F16" s="1">
        <v>1.1805860006934288</v>
      </c>
    </row>
    <row r="17">
      <c r="A17" s="1" t="s">
        <v>64</v>
      </c>
      <c r="B17" s="1">
        <v>23.117113</v>
      </c>
      <c r="C17" s="1">
        <v>5.305094</v>
      </c>
      <c r="D17" s="1">
        <v>0.495813</v>
      </c>
      <c r="E17" s="1">
        <v>1.3639335959051766</v>
      </c>
      <c r="F17" s="1">
        <v>0.7246930834908228</v>
      </c>
    </row>
    <row r="18">
      <c r="A18" s="1" t="s">
        <v>65</v>
      </c>
      <c r="B18" s="1">
        <v>92.179215</v>
      </c>
      <c r="C18" s="1">
        <v>20.389159</v>
      </c>
      <c r="D18" s="1">
        <v>0.6468225</v>
      </c>
      <c r="E18" s="1">
        <v>1.9646330053439374</v>
      </c>
      <c r="F18" s="1">
        <v>1.309399312625035</v>
      </c>
    </row>
    <row r="19">
      <c r="A19" s="1" t="s">
        <v>66</v>
      </c>
      <c r="B19" s="1">
        <v>79.862937</v>
      </c>
      <c r="C19" s="1">
        <v>20.300219</v>
      </c>
      <c r="D19" s="1">
        <v>0.5989476666666667</v>
      </c>
      <c r="E19" s="1">
        <v>1.9023452775517706</v>
      </c>
      <c r="F19" s="1">
        <v>1.307500723133829</v>
      </c>
    </row>
    <row r="20">
      <c r="A20" s="1" t="s">
        <v>67</v>
      </c>
      <c r="B20" s="1">
        <v>38.734274</v>
      </c>
      <c r="C20" s="1">
        <v>9.199105</v>
      </c>
      <c r="D20" s="1">
        <v>0.5544</v>
      </c>
      <c r="E20" s="1">
        <v>1.5880954203582824</v>
      </c>
      <c r="F20" s="1">
        <v>0.9637455759902193</v>
      </c>
    </row>
    <row r="21">
      <c r="A21" s="1" t="s">
        <v>68</v>
      </c>
      <c r="B21" s="1">
        <v>110.075251</v>
      </c>
      <c r="C21" s="1">
        <v>14.91113</v>
      </c>
      <c r="D21" s="1">
        <v>0.665803</v>
      </c>
      <c r="E21" s="1">
        <v>2.0416896844362706</v>
      </c>
      <c r="F21" s="1">
        <v>1.1735105565427926</v>
      </c>
    </row>
    <row r="22">
      <c r="A22" s="1" t="s">
        <v>69</v>
      </c>
      <c r="B22" s="1">
        <v>137.318539</v>
      </c>
      <c r="C22" s="1">
        <v>26.372464</v>
      </c>
      <c r="D22" s="1">
        <v>0.6434873333333333</v>
      </c>
      <c r="E22" s="1">
        <v>2.1377291741040367</v>
      </c>
      <c r="F22" s="1">
        <v>1.4211507081632346</v>
      </c>
    </row>
    <row r="23">
      <c r="A23" s="1" t="s">
        <v>70</v>
      </c>
      <c r="B23" s="1">
        <v>113.303764</v>
      </c>
      <c r="C23" s="1">
        <v>20.151826</v>
      </c>
      <c r="D23" s="1">
        <v>0.673842</v>
      </c>
      <c r="E23" s="1">
        <v>2.0542443375533983</v>
      </c>
      <c r="F23" s="1">
        <v>1.3043144046108341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2" t="s">
        <v>71</v>
      </c>
      <c r="C1" s="2" t="s">
        <v>72</v>
      </c>
    </row>
    <row r="2">
      <c r="A2" s="2">
        <v>2009.0</v>
      </c>
      <c r="B2" s="2" t="s">
        <v>73</v>
      </c>
      <c r="C2" s="2" t="s">
        <v>74</v>
      </c>
    </row>
    <row r="3">
      <c r="A3" s="2">
        <v>2011.0</v>
      </c>
      <c r="B3" s="2" t="s">
        <v>75</v>
      </c>
      <c r="C3" s="2" t="s">
        <v>76</v>
      </c>
    </row>
    <row r="4">
      <c r="A4" s="2">
        <v>2013.0</v>
      </c>
      <c r="B4" s="2" t="s">
        <v>77</v>
      </c>
      <c r="C4" s="2" t="s">
        <v>78</v>
      </c>
    </row>
    <row r="5">
      <c r="A5" s="2">
        <v>2015.0</v>
      </c>
      <c r="B5" s="2" t="s">
        <v>79</v>
      </c>
      <c r="C5" s="2" t="s">
        <v>80</v>
      </c>
    </row>
    <row r="6">
      <c r="A6" s="2">
        <v>2017.0</v>
      </c>
      <c r="B6" s="2" t="s">
        <v>81</v>
      </c>
      <c r="C6" s="2" t="s">
        <v>82</v>
      </c>
    </row>
    <row r="7">
      <c r="A7" s="2">
        <v>2019.0</v>
      </c>
      <c r="B7" s="2" t="s">
        <v>83</v>
      </c>
      <c r="C7" s="2" t="s">
        <v>84</v>
      </c>
    </row>
    <row r="8">
      <c r="A8" s="2">
        <v>2021.0</v>
      </c>
      <c r="B8" s="2" t="s">
        <v>85</v>
      </c>
      <c r="C8" s="2" t="s">
        <v>86</v>
      </c>
    </row>
    <row r="9">
      <c r="A9" s="2">
        <v>2023.0</v>
      </c>
      <c r="B9" s="2" t="s">
        <v>87</v>
      </c>
      <c r="C9" s="2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25"/>
    <col customWidth="1" min="3" max="3" width="17.0"/>
    <col customWidth="1" min="4" max="4" width="28.75"/>
    <col customWidth="1" min="5" max="5" width="25.0"/>
    <col customWidth="1" min="6" max="6" width="5.75"/>
    <col customWidth="1" min="7" max="26" width="7.63"/>
  </cols>
  <sheetData>
    <row r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>
      <c r="A2" s="1">
        <v>2016.0</v>
      </c>
      <c r="B2" s="1">
        <v>2.0</v>
      </c>
      <c r="C2" s="1">
        <v>2.0</v>
      </c>
      <c r="D2" s="1">
        <v>3.0</v>
      </c>
      <c r="E2" s="1">
        <v>3.0</v>
      </c>
      <c r="F2" s="1">
        <v>1.0</v>
      </c>
      <c r="G2" s="1">
        <v>1.0</v>
      </c>
      <c r="H2" s="1">
        <v>5.0</v>
      </c>
      <c r="I2" s="1">
        <v>17.0</v>
      </c>
    </row>
    <row r="3">
      <c r="A3" s="1">
        <v>2017.0</v>
      </c>
      <c r="B3" s="1">
        <v>3.0</v>
      </c>
      <c r="C3" s="1">
        <v>3.0</v>
      </c>
      <c r="D3" s="1">
        <v>4.0</v>
      </c>
      <c r="E3" s="1">
        <v>4.0</v>
      </c>
      <c r="F3" s="1">
        <v>2.0</v>
      </c>
      <c r="G3" s="1">
        <v>2.0</v>
      </c>
      <c r="H3" s="1">
        <v>8.0</v>
      </c>
      <c r="I3" s="1">
        <v>26.0</v>
      </c>
    </row>
    <row r="4">
      <c r="A4" s="1">
        <v>2018.0</v>
      </c>
      <c r="B4" s="1">
        <v>5.0</v>
      </c>
      <c r="C4" s="1">
        <v>4.0</v>
      </c>
      <c r="D4" s="1">
        <v>5.0</v>
      </c>
      <c r="E4" s="1">
        <v>5.0</v>
      </c>
      <c r="F4" s="1">
        <v>3.0</v>
      </c>
      <c r="G4" s="1">
        <v>3.0</v>
      </c>
      <c r="H4" s="1">
        <v>12.0</v>
      </c>
      <c r="I4" s="1">
        <v>37.0</v>
      </c>
    </row>
    <row r="5">
      <c r="A5" s="1">
        <v>2019.0</v>
      </c>
      <c r="B5" s="1">
        <v>6.0</v>
      </c>
      <c r="C5" s="1">
        <v>5.0</v>
      </c>
      <c r="D5" s="1">
        <v>6.0</v>
      </c>
      <c r="E5" s="1">
        <v>6.0</v>
      </c>
      <c r="F5" s="1">
        <v>4.0</v>
      </c>
      <c r="G5" s="1">
        <v>4.0</v>
      </c>
      <c r="H5" s="1">
        <v>17.0</v>
      </c>
      <c r="I5" s="1">
        <v>48.0</v>
      </c>
    </row>
    <row r="6">
      <c r="A6" s="1">
        <v>2020.0</v>
      </c>
      <c r="B6" s="1">
        <v>7.0</v>
      </c>
      <c r="C6" s="1">
        <v>6.0</v>
      </c>
      <c r="D6" s="1">
        <v>8.0</v>
      </c>
      <c r="E6" s="1">
        <v>7.0</v>
      </c>
      <c r="F6" s="1">
        <v>5.0</v>
      </c>
      <c r="G6" s="1">
        <v>5.0</v>
      </c>
      <c r="H6" s="1">
        <v>23.0</v>
      </c>
      <c r="I6" s="1">
        <v>61.0</v>
      </c>
    </row>
    <row r="7">
      <c r="A7" s="1">
        <v>2021.0</v>
      </c>
      <c r="B7" s="1">
        <v>14.0</v>
      </c>
      <c r="C7" s="1">
        <v>10.0</v>
      </c>
      <c r="D7" s="1">
        <v>15.0</v>
      </c>
      <c r="E7" s="1">
        <v>13.0</v>
      </c>
      <c r="F7" s="1">
        <v>8.0</v>
      </c>
      <c r="G7" s="1">
        <v>7.0</v>
      </c>
      <c r="H7" s="1">
        <v>44.0</v>
      </c>
      <c r="I7" s="1">
        <v>111.0</v>
      </c>
    </row>
    <row r="8">
      <c r="A8" s="1">
        <v>2022.0</v>
      </c>
      <c r="B8" s="1">
        <v>19.0</v>
      </c>
      <c r="C8" s="1">
        <v>14.0</v>
      </c>
      <c r="D8" s="1">
        <v>22.0</v>
      </c>
      <c r="E8" s="1">
        <v>25.0</v>
      </c>
      <c r="F8" s="1">
        <v>12.0</v>
      </c>
      <c r="G8" s="1">
        <v>9.0</v>
      </c>
      <c r="H8" s="1">
        <v>59.0</v>
      </c>
      <c r="I8" s="1">
        <v>160.0</v>
      </c>
    </row>
    <row r="9">
      <c r="A9" s="1">
        <v>2023.0</v>
      </c>
      <c r="B9" s="1">
        <v>27.0</v>
      </c>
      <c r="C9" s="1">
        <v>21.0</v>
      </c>
      <c r="D9" s="1">
        <v>33.0</v>
      </c>
      <c r="E9" s="1">
        <v>42.0</v>
      </c>
      <c r="F9" s="1">
        <v>17.0</v>
      </c>
      <c r="G9" s="1">
        <v>14.0</v>
      </c>
      <c r="H9" s="1">
        <v>68.0</v>
      </c>
      <c r="I9" s="1">
        <v>222.0</v>
      </c>
    </row>
    <row r="10">
      <c r="A10" s="1">
        <v>2024.0</v>
      </c>
      <c r="B10" s="1">
        <v>34.0</v>
      </c>
      <c r="C10" s="1">
        <v>26.0</v>
      </c>
      <c r="D10" s="1">
        <v>46.0</v>
      </c>
      <c r="E10" s="1">
        <v>65.0</v>
      </c>
      <c r="F10" s="1">
        <v>23.0</v>
      </c>
      <c r="G10" s="1">
        <v>19.0</v>
      </c>
      <c r="H10" s="1">
        <v>86.0</v>
      </c>
      <c r="I10" s="1">
        <v>299.0</v>
      </c>
    </row>
    <row r="11">
      <c r="A11" s="1">
        <v>2025.0</v>
      </c>
      <c r="B11" s="1">
        <v>39.0</v>
      </c>
      <c r="C11" s="1">
        <v>31.0</v>
      </c>
      <c r="D11" s="1">
        <v>54.0</v>
      </c>
      <c r="E11" s="1">
        <v>88.0</v>
      </c>
      <c r="F11" s="1">
        <v>28.0</v>
      </c>
      <c r="G11" s="1">
        <v>24.0</v>
      </c>
      <c r="H11" s="1">
        <v>90.0</v>
      </c>
      <c r="I11" s="1">
        <v>354.0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