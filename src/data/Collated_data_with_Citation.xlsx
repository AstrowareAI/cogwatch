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tGPT Growth Rates" sheetId="1" r:id="rId4"/>
    <sheet state="visible" name="Mental health" sheetId="2" r:id="rId5"/>
    <sheet state="visible" name="Population" sheetId="3" r:id="rId6"/>
    <sheet state="visible" name="Social Media" sheetId="4" r:id="rId7"/>
    <sheet state="visible" name="Cognitive Ability Index" sheetId="5" r:id="rId8"/>
    <sheet state="visible" name="AI Capability in completing lon" sheetId="6" r:id="rId9"/>
    <sheet state="visible" name="SCREEN_TIME_USAGE_HOURS" sheetId="7" r:id="rId10"/>
    <sheet state="visible" name="All Categories (Named)" sheetId="8" r:id="rId11"/>
  </sheets>
  <definedNames/>
  <calcPr/>
</workbook>
</file>

<file path=xl/sharedStrings.xml><?xml version="1.0" encoding="utf-8"?>
<sst xmlns="http://schemas.openxmlformats.org/spreadsheetml/2006/main" count="210" uniqueCount="188">
  <si>
    <t>Year</t>
  </si>
  <si>
    <t>Half</t>
  </si>
  <si>
    <t>WAU_Millions</t>
  </si>
  <si>
    <t>HoH_Growth_%</t>
  </si>
  <si>
    <t>YoY_Growth_%</t>
  </si>
  <si>
    <t>Total_Population_in_Billions</t>
  </si>
  <si>
    <t>%_of_Population_using_chatgpt</t>
  </si>
  <si>
    <t>Comments</t>
  </si>
  <si>
    <t>Source</t>
  </si>
  <si>
    <t>Citation_Link</t>
  </si>
  <si>
    <t>H2</t>
  </si>
  <si>
    <t>Launch (no data)</t>
  </si>
  <si>
    <t>OpenAI Blog – Introducing ChatGPT (Nov 30 2022)</t>
  </si>
  <si>
    <t>https://openai.com/blog/chatgpt — Official release announcement; no user metrics published.</t>
  </si>
  <si>
    <t>H1</t>
  </si>
  <si>
    <t>Initial adoption surge post-launch</t>
  </si>
  <si>
    <t>100M WAU milestone (DevDay)</t>
  </si>
  <si>
    <t>Reuters – OpenAI CEO Altman says ChatGPT has 100M WAU (Nov 6 2023)</t>
  </si>
  <si>
    <t>https://www.reuters.com/technology/openai-ceo-sam-altman-says-chatgpt-has-100-million-weekly-active-users-2023-11-06/</t>
  </si>
  <si>
    <t>Doubled users (Reuters Aug 2024)</t>
  </si>
  <si>
    <t>Reuters – ChatGPT’s weekly users reach 200M (Aug 29 2024)</t>
  </si>
  <si>
    <t>https://www.reuters.com/technology/artificial-intelligence/openai-says-chatgpts-weekly-users-have-grown-200-million-2024-08-29/</t>
  </si>
  <si>
    <t>Continued growth (DealBook Dec 2024)</t>
  </si>
  <si>
    <t>The Verge – ChatGPT now has 300M weekly users (Dec 4 2024)</t>
  </si>
  <si>
    <t>https://www.theverge.com/2024/12/4/24313097/chatgpt-300-million-weekly-users</t>
  </si>
  <si>
    <t>400M milestone (Reuters Feb 2025)</t>
  </si>
  <si>
    <t>Reuters – OpenAI’s weekly active users surpass 400M (Feb 20 2025)</t>
  </si>
  <si>
    <t>https://www.reuters.com/technology/artificial-intelligence/openais-weekly-active-users-surpass-400-million-2025-02-20/</t>
  </si>
  <si>
    <t>700–800M WAU range (TechCrunch Jul–Oct 2025)</t>
  </si>
  <si>
    <t>OpenAI Economic Research + TechCrunch – 700–800M WAU (Jul–Oct 2025)</t>
  </si>
  <si>
    <t>https://cdn.openai.com/pdf/a253471f-8260-40c6-a2cc-aa93fe9f142e/economic-research-chatgpt-usage-paper.pdf; https://techcrunch.com/2025/10/06/sam-altman-says-chatgpt-has-hit-800m-weekly-active-users</t>
  </si>
  <si>
    <t>Total (M)</t>
  </si>
  <si>
    <t>Total (B)</t>
  </si>
  <si>
    <t>Anxiety (M)</t>
  </si>
  <si>
    <t>Depression (M)</t>
  </si>
  <si>
    <t>Bipolar (M)</t>
  </si>
  <si>
    <t>Schizophrenia (M)</t>
  </si>
  <si>
    <t>Eating (M)</t>
  </si>
  <si>
    <t>https://ourworldindata.org/grapher/mental-illness-estimated-cases?tab=line&amp;time=earliest..2021&amp;tableFilter=continents</t>
  </si>
  <si>
    <t>https://www.who.int/news-room/fact-sheets/detail/mental-disorders</t>
  </si>
  <si>
    <t>Population_Billions</t>
  </si>
  <si>
    <t>https://data.worldbank.org/indicator/SP.POP.TOTL?end=2024&amp;start=1998&amp;view=chart</t>
  </si>
  <si>
    <t>UN WPP 2024</t>
  </si>
  <si>
    <r>
      <t xml:space="preserve">World Population Prospects 2024 (UN DESA / Population Division) – </t>
    </r>
    <r>
      <rPr>
        <color rgb="FF1155CC"/>
        <u/>
      </rPr>
      <t>https://population.un.org/wpp/</t>
    </r>
    <r>
      <rPr/>
      <t xml:space="preserve"> </t>
    </r>
    <r>
      <rPr>
        <color rgb="FF1155CC"/>
        <u/>
      </rPr>
      <t>population.un.org</t>
    </r>
    <r>
      <rPr>
        <color rgb="FF1155CC"/>
        <u/>
      </rPr>
      <t>+2</t>
    </r>
    <r>
      <rPr>
        <color rgb="FF1155CC"/>
        <u/>
      </rPr>
      <t>un.org</t>
    </r>
    <r>
      <rPr>
        <color rgb="FF1155CC"/>
        <u/>
      </rPr>
      <t>+2</t>
    </r>
  </si>
  <si>
    <t>Number of Social media users in Billions</t>
  </si>
  <si>
    <r>
      <rPr/>
      <t xml:space="preserve">Our World in Data (Statista &amp; TNW, 2019)
</t>
    </r>
    <r>
      <rPr>
        <color rgb="FF1155CC"/>
        <u/>
      </rPr>
      <t>https://ourworldindata.org/rise-of-social-media</t>
    </r>
  </si>
  <si>
    <t>https://www.statista.com/topics/1164/social-networks/</t>
  </si>
  <si>
    <t>Cognitive Index (2012 = 100)</t>
  </si>
  <si>
    <t>Annual Change (%)</t>
  </si>
  <si>
    <t>Comments as per the supporting papers</t>
  </si>
  <si>
    <t>—</t>
  </si>
  <si>
    <r>
      <t>Baseline—late Flynn-effect plateau. PISA 2012 anchors the high-water mark. (</t>
    </r>
    <r>
      <rPr>
        <color rgb="FF1155CC"/>
        <u/>
      </rPr>
      <t>OECD</t>
    </r>
    <r>
      <rPr/>
      <t>)</t>
    </r>
  </si>
  <si>
    <t>−0.2%</t>
  </si>
  <si>
    <r>
      <t>Early flattening in large-scale assessments (NAEP/PISA trend briefs). (</t>
    </r>
    <r>
      <rPr>
        <color rgb="FF1155CC"/>
        <u/>
      </rPr>
      <t>nces.ed.gov</t>
    </r>
    <r>
      <rPr/>
      <t>)</t>
    </r>
  </si>
  <si>
    <r>
      <t>Continued stagnation in literacy/numeracy in multiple systems. (</t>
    </r>
    <r>
      <rPr>
        <color rgb="FF1155CC"/>
        <u/>
      </rPr>
      <t>nces.ed.gov</t>
    </r>
    <r>
      <rPr/>
      <t>)</t>
    </r>
  </si>
  <si>
    <t>−0.3%</t>
  </si>
  <si>
    <r>
      <t>PISA-2015: widespread drops—especially math (foundation for a downshift). (</t>
    </r>
    <r>
      <rPr>
        <color rgb="FF1155CC"/>
        <u/>
      </rPr>
      <t>OECD</t>
    </r>
    <r>
      <rPr/>
      <t>)</t>
    </r>
  </si>
  <si>
    <r>
      <t>Norway conscription IQ shows Flynn-effect reversal (environmental, not genetic). (</t>
    </r>
    <r>
      <rPr>
        <color rgb="FF1155CC"/>
        <u/>
      </rPr>
      <t>pnas.org</t>
    </r>
    <r>
      <rPr/>
      <t>)</t>
    </r>
  </si>
  <si>
    <r>
      <t>NAEP signals early softening pre-COVID. (</t>
    </r>
    <r>
      <rPr>
        <color rgb="FF1155CC"/>
        <u/>
      </rPr>
      <t>nces.ed.gov</t>
    </r>
    <r>
      <rPr/>
      <t>)</t>
    </r>
  </si>
  <si>
    <r>
      <t>PISA-2018: global declines vs 2015 (math &amp; reading). (</t>
    </r>
    <r>
      <rPr>
        <color rgb="FF1155CC"/>
        <u/>
      </rPr>
      <t>OECD</t>
    </r>
    <r>
      <rPr/>
      <t>)</t>
    </r>
  </si>
  <si>
    <r>
      <t>Meta-reviews document reversals in high-income cohorts. (</t>
    </r>
    <r>
      <rPr>
        <color rgb="FF1155CC"/>
        <u/>
      </rPr>
      <t>journals.sagepub.com</t>
    </r>
    <r>
      <rPr/>
      <t>)</t>
    </r>
  </si>
  <si>
    <t>−0.4%</t>
  </si>
  <si>
    <r>
      <t>Pandemic learning loss begins to bite (global evidence across systems). (</t>
    </r>
    <r>
      <rPr>
        <color rgb="FF1155CC"/>
        <u/>
      </rPr>
      <t>nces.ed.gov</t>
    </r>
    <r>
      <rPr/>
      <t>)</t>
    </r>
  </si>
  <si>
    <r>
      <t>Continued erosion in mid-/late-adolescent cohorts; recovery not yet evident. (</t>
    </r>
    <r>
      <rPr>
        <color rgb="FF1155CC"/>
        <u/>
      </rPr>
      <t>nces.ed.gov</t>
    </r>
    <r>
      <rPr/>
      <t>)</t>
    </r>
  </si>
  <si>
    <t>−0.5%</t>
  </si>
  <si>
    <r>
      <rPr/>
      <t>PISA-2022: OECD average math −~15 pts, reading −~10 pts vs 2018 (≈ three-quarters of a school year). (</t>
    </r>
    <r>
      <rPr>
        <color rgb="FF1155CC"/>
        <u/>
      </rPr>
      <t>OECD</t>
    </r>
    <r>
      <rPr/>
      <t>)</t>
    </r>
  </si>
  <si>
    <t>−0.6%</t>
  </si>
  <si>
    <r>
      <rPr/>
      <t>NAEP LTT (age 13): math −9, reading −4 vs 2019–20; confirms continued post-2022 slide. (</t>
    </r>
    <r>
      <rPr>
        <color rgb="FF1155CC"/>
        <u/>
      </rPr>
      <t>nationsreportcard.gov</t>
    </r>
    <r>
      <rPr/>
      <t xml:space="preserve">)
adult reverse-Flynn-effect confirmed in Dworak et al. 2023 (Intelligence, Vol 98, 101734, ScienceDirect) showing −0.021 to −0.034 SD per year decline in fluid reasoning 2006–2018. 
Decline attributed to environmental factors, reduced analytical engagement, and digital cognitive offloading. 
( </t>
    </r>
    <r>
      <rPr>
        <color rgb="FF1155CC"/>
        <u/>
      </rPr>
      <t>https://www.sciencedirect.com/science/article/pii/S0160289623000156</t>
    </r>
    <r>
      <rPr/>
      <t xml:space="preserve"> )</t>
    </r>
  </si>
  <si>
    <r>
      <rPr/>
      <t>NAEP 2024 grade 12: math −3 vs 2019 (still below pre-COVID); OECD monitoring shows losses persist. (</t>
    </r>
    <r>
      <rPr>
        <color rgb="FF1155CC"/>
        <u/>
      </rPr>
      <t>nationsreportcard.gov</t>
    </r>
    <r>
      <rPr/>
      <t>)</t>
    </r>
  </si>
  <si>
    <t>2022 to 2025 is where we find AI usage booming with ChatGPT and co-relates with the cognitive index</t>
  </si>
  <si>
    <t xml:space="preserve">Methodology Note: Baseline Year (2012 = 100)
The cognitive ability index uses 2012 as the baseline year (Index = 100). This choice is supported by multiple empirical datasets and aligns with three major inflection points in global cognitive trends.
1. Empirical peak in global test performance
OECD PISA 2012 recorded the highest international averages in mathematics and reading before consistent declines in subsequent cycles (2015, 2018, 2022).
Similarly, NAEP 2012 showed stable or peak results in U.S. reading and mathematics before decade-long erosion in scores.
(Sources: OECD PISA 2012 Results
; NCES NAEP 2012 Reports
).
2. First cohort reversal in the Flynn effect
Bratsberg &amp; Rogeberg (2018, PNAS) documented the first clear reversal in national IQ trends, beginning with birth cohorts tested around 2010–2012.
This identifies 2012 as the earliest period where cognitive performance began trending downward across industrialized populations.
(Source: PNAS 2018
).
3. Transition to large-scale digital cognition
By 2012, global smartphone adoption exceeded 30 percent, and social media reached more than one billion users.
This period marked the beginning of widespread cognitive offloading—transferring reasoning, memory, and attention tasks to digital systems.
Reviews link this shift to gradual reductions in sustained attention and analytical reasoning in the following decade.
(Source: Frontiers in Psychology 2024 Review
).
Summary
2012 represents the last confirmed global high point in reasoning and literacy, the onset of measurable cohort-level IQ reversals, and the start of large-scale digital cognitive reliance.
Setting the index baseline at 2012 ensures consistency across datasets and accurately reflects the transition from peak cognitive performance into the modern decline phase.
</t>
  </si>
  <si>
    <t>AI Capability (METR Horizon-v1)</t>
  </si>
  <si>
    <t>https://metr.org/blog/2025-03-19-measuring-ai-ability-to-complete-long-tasks/</t>
  </si>
  <si>
    <t>Raw Data</t>
  </si>
  <si>
    <t>Model</t>
  </si>
  <si>
    <t>ReleaseDate</t>
  </si>
  <si>
    <t>Month</t>
  </si>
  <si>
    <t>P50_Hours</t>
  </si>
  <si>
    <t>P80_Hours</t>
  </si>
  <si>
    <t>AverageScore</t>
  </si>
  <si>
    <t>Is_SOTA</t>
  </si>
  <si>
    <t>gpt2</t>
  </si>
  <si>
    <t>davinci_002</t>
  </si>
  <si>
    <t>gpt_3_5_turbo_instruct</t>
  </si>
  <si>
    <t>gpt_4</t>
  </si>
  <si>
    <t>gpt_4_1106</t>
  </si>
  <si>
    <t>gpt_4_0125</t>
  </si>
  <si>
    <t>claude_3_opus</t>
  </si>
  <si>
    <t>gpt_4_turbo</t>
  </si>
  <si>
    <t>gpt_4o</t>
  </si>
  <si>
    <t>qwen_2_72b</t>
  </si>
  <si>
    <t>claude_3_5_sonnet</t>
  </si>
  <si>
    <t>o1_preview</t>
  </si>
  <si>
    <t>qwen_2_5_72b</t>
  </si>
  <si>
    <t>claude_3_5_sonnet_20241022</t>
  </si>
  <si>
    <t>o1_elicited</t>
  </si>
  <si>
    <t>deepseek_v3</t>
  </si>
  <si>
    <t>deepseek_r1</t>
  </si>
  <si>
    <t>claude_3_7_sonnet</t>
  </si>
  <si>
    <t>deepseek_v3_0324</t>
  </si>
  <si>
    <t>o3</t>
  </si>
  <si>
    <t>o4-mini</t>
  </si>
  <si>
    <t>claude_4_sonnet</t>
  </si>
  <si>
    <t>claude_4_opus</t>
  </si>
  <si>
    <t>deepseek_r1_0528</t>
  </si>
  <si>
    <t>gemini_2_5_pro_preview</t>
  </si>
  <si>
    <t>grok_4</t>
  </si>
  <si>
    <t>claude_4_1_opus</t>
  </si>
  <si>
    <t>gpt-oss-120b</t>
  </si>
  <si>
    <t>gpt_5</t>
  </si>
  <si>
    <t>claude_sonnet_4_5</t>
  </si>
  <si>
    <t>Monthly Trend (calculated from Raw Data)</t>
  </si>
  <si>
    <t>P50_Hours_Max</t>
  </si>
  <si>
    <t>P80_Hours_Max</t>
  </si>
  <si>
    <t>AverageScore_Mean</t>
  </si>
  <si>
    <t>Log_P50</t>
  </si>
  <si>
    <t>Log_P80</t>
  </si>
  <si>
    <t>2020-05</t>
  </si>
  <si>
    <t>2022-03</t>
  </si>
  <si>
    <t>2023-03</t>
  </si>
  <si>
    <t>2023-11</t>
  </si>
  <si>
    <t>2024-01</t>
  </si>
  <si>
    <t>2024-03</t>
  </si>
  <si>
    <t>2024-04</t>
  </si>
  <si>
    <t>2024-05</t>
  </si>
  <si>
    <t>2024-06</t>
  </si>
  <si>
    <t>2024-09</t>
  </si>
  <si>
    <t>2024-10</t>
  </si>
  <si>
    <t>2024-12</t>
  </si>
  <si>
    <t>2025-01</t>
  </si>
  <si>
    <t>2025-02</t>
  </si>
  <si>
    <t>2025-03</t>
  </si>
  <si>
    <t>2025-04</t>
  </si>
  <si>
    <t>2025-05</t>
  </si>
  <si>
    <t>2025-06</t>
  </si>
  <si>
    <t>2025-07</t>
  </si>
  <si>
    <t>2025-08</t>
  </si>
  <si>
    <t>2025-09</t>
  </si>
  <si>
    <t>Social Media Hours Per Day (Teens)</t>
  </si>
  <si>
    <t>Total Screen Time Hours Per Day (Teens)</t>
  </si>
  <si>
    <t>Data Source</t>
  </si>
  <si>
    <t>Confidence</t>
  </si>
  <si>
    <t>~0.5-1.0</t>
  </si>
  <si>
    <t>~4.5-5</t>
  </si>
  <si>
    <t>Common Sense Media reports (early social media adoption era); AAP reports (2013 retrospective)</t>
  </si>
  <si>
    <t>MEDIUM - Estimated from early reports</t>
  </si>
  <si>
    <t>~1.0-1.5</t>
  </si>
  <si>
    <t>~5.0-5.5</t>
  </si>
  <si>
    <t>Nielsen Company reports; AAP media tracking; Pew texting/phone data</t>
  </si>
  <si>
    <t>MEDIUM - Extrapolated from texting/phone use</t>
  </si>
  <si>
    <t>~1.5-2.0</t>
  </si>
  <si>
    <t>~6.0-6.5</t>
  </si>
  <si>
    <t>Common Sense Media 2015 retrospective data; Early media tracking reports</t>
  </si>
  <si>
    <t>MEDIUM - Interpolated</t>
  </si>
  <si>
    <t>~2.0-2.5</t>
  </si>
  <si>
    <t>~6 hours 40 minutes</t>
  </si>
  <si>
    <t>Common Sense Media 2015 survey data explicitly cited in CDC/AAP reports</t>
  </si>
  <si>
    <t>HIGH - Direct measurement</t>
  </si>
  <si>
    <t>~2.5-3.0</t>
  </si>
  <si>
    <t>~7 hours</t>
  </si>
  <si>
    <t>Common Sense Media ongoing tracking; Canadian OSDUHS showed teens spending 5+ hours on social media at 20%</t>
  </si>
  <si>
    <t>MEDIUM-HIGH - Trend data</t>
  </si>
  <si>
    <t>~3.0-3.5</t>
  </si>
  <si>
    <t>~7 hours 22 minutes</t>
  </si>
  <si>
    <t>Common Sense Media 2019 data; AAP reports noting 69% watching videos daily for 56-59 min</t>
  </si>
  <si>
    <t>HIGH - Multiple sources</t>
  </si>
  <si>
    <t>~3.5-4.0</t>
  </si>
  <si>
    <t>~8 hours 39 minutes</t>
  </si>
  <si>
    <t>CDC NHIS data; COVID-19 pandemic peak; Remote learning effect documented</t>
  </si>
  <si>
    <t>HIGHEST - Official CDC data</t>
  </si>
  <si>
    <t>~4.0-4.8</t>
  </si>
  <si>
    <t>~7 hours (recovery)</t>
  </si>
  <si>
    <t>Gallup 2023 survey: 4.8 hours social media (YouTube 1.9 hrs, TikTok 1.5 hrs); CDC NHIS data</t>
  </si>
  <si>
    <t>HIGHEST - Latest official data</t>
  </si>
  <si>
    <t>Discrimination &amp; Fairness</t>
  </si>
  <si>
    <t>Privacy &amp; Security</t>
  </si>
  <si>
    <t>Misinformation</t>
  </si>
  <si>
    <t>Malicious Actor Use</t>
  </si>
  <si>
    <t>Human–Computer Interaction</t>
  </si>
  <si>
    <t>Socio-Economic Impact</t>
  </si>
  <si>
    <t>AI System Safety</t>
  </si>
  <si>
    <t>Total</t>
  </si>
  <si>
    <t>Source:</t>
  </si>
  <si>
    <t>https://airisk.mit.edu/ai-incident-tracker</t>
  </si>
  <si>
    <t>( Below is a derivative from above sheet )</t>
  </si>
  <si>
    <t>Total (All)</t>
  </si>
  <si>
    <t>Total (Non-Malicious)</t>
  </si>
  <si>
    <t>Total (Malicious Actor Use only)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</si>
</sst>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h:mm:ss"/>
  </numFmts>
  <fonts count="7">
    <font>
      <sz val="11.0"/>
      <color theme="1"/>
      <name val="Arial"/>
      <scheme val="minor"/>
    </font>
    <font>
      <color theme="1"/>
      <name val="Arial"/>
      <scheme val="minor"/>
    </font>
    <font>
      <sz val="11.0"/>
      <color theme="1"/>
      <name val="Calibri"/>
    </font>
    <font>
      <b/>
      <color theme="1"/>
      <name val="Arial"/>
      <scheme val="minor"/>
    </font>
    <font>
      <u/>
      <color rgb="FF0000FF"/>
    </font>
    <font>
      <u/>
      <color rgb="FF0000FF"/>
    </font>
    <font>
      <u/>
      <color rgb="FF0000FF"/>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 xfId="0" applyFont="1" applyNumberFormat="1"/>
    <xf borderId="0" fillId="0" fontId="2" numFmtId="164" xfId="0" applyFont="1" applyNumberFormat="1"/>
    <xf borderId="0" fillId="0" fontId="2" numFmtId="2" xfId="0" applyFont="1" applyNumberFormat="1"/>
    <xf borderId="0" fillId="0" fontId="2" numFmtId="10" xfId="0" applyFont="1" applyNumberFormat="1"/>
    <xf borderId="0" fillId="0" fontId="3" numFmtId="0" xfId="0" applyAlignment="1" applyFont="1">
      <alignment horizontal="center" readingOrder="0"/>
    </xf>
    <xf borderId="0" fillId="0" fontId="4" numFmtId="0" xfId="0" applyAlignment="1" applyFont="1">
      <alignment readingOrder="0"/>
    </xf>
    <xf borderId="0" fillId="0" fontId="1" numFmtId="0" xfId="0" applyAlignment="1" applyFont="1">
      <alignment horizontal="right" readingOrder="0"/>
    </xf>
    <xf borderId="0" fillId="0" fontId="2" numFmtId="2" xfId="0" applyAlignment="1" applyFont="1" applyNumberFormat="1">
      <alignment readingOrder="0"/>
    </xf>
    <xf borderId="0" fillId="0" fontId="5" numFmtId="0" xfId="0" applyAlignment="1" applyFont="1">
      <alignment readingOrder="0"/>
    </xf>
    <xf borderId="0" fillId="0" fontId="1" numFmtId="0" xfId="0" applyFont="1"/>
    <xf borderId="0" fillId="2" fontId="1" numFmtId="0" xfId="0" applyAlignment="1" applyFill="1" applyFont="1">
      <alignment shrinkToFit="0" wrapText="0"/>
    </xf>
    <xf borderId="0" fillId="2" fontId="6" numFmtId="0" xfId="0" applyAlignment="1" applyFont="1">
      <alignment readingOrder="0" shrinkToFit="0" wrapText="0"/>
    </xf>
    <xf borderId="0" fillId="3" fontId="1" numFmtId="0" xfId="0" applyAlignment="1" applyFill="1" applyFont="1">
      <alignment shrinkToFit="0" wrapText="0"/>
    </xf>
    <xf borderId="0" fillId="0" fontId="3" numFmtId="0" xfId="0" applyAlignment="1" applyFont="1">
      <alignment horizontal="right" readingOrder="0"/>
    </xf>
    <xf borderId="0" fillId="0" fontId="2" numFmtId="165" xfId="0" applyFont="1" applyNumberFormat="1"/>
    <xf borderId="1" fillId="0" fontId="1"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AI Capability Growth (Linear)</a:t>
            </a:r>
          </a:p>
        </c:rich>
      </c:tx>
      <c:overlay val="0"/>
    </c:title>
    <c:plotArea>
      <c:layout/>
      <c:lineChart>
        <c:ser>
          <c:idx val="0"/>
          <c:order val="0"/>
          <c:tx>
            <c:strRef>
              <c:f>'AI Capability in completing lon'!$B$37</c:f>
            </c:strRef>
          </c:tx>
          <c:spPr>
            <a:ln cmpd="sng">
              <a:solidFill>
                <a:srgbClr val="4285F4"/>
              </a:solidFill>
            </a:ln>
          </c:spPr>
          <c:marker>
            <c:symbol val="none"/>
          </c:marker>
          <c:cat>
            <c:strRef>
              <c:f>'AI Capability in completing lon'!$A$38:$A$59</c:f>
            </c:strRef>
          </c:cat>
          <c:val>
            <c:numRef>
              <c:f>'AI Capability in completing lon'!$B$38:$B$59</c:f>
              <c:numCache/>
            </c:numRef>
          </c:val>
          <c:smooth val="0"/>
        </c:ser>
        <c:ser>
          <c:idx val="1"/>
          <c:order val="1"/>
          <c:tx>
            <c:strRef>
              <c:f>'AI Capability in completing lon'!$C$37</c:f>
            </c:strRef>
          </c:tx>
          <c:spPr>
            <a:ln cmpd="sng">
              <a:solidFill>
                <a:srgbClr val="EA4335"/>
              </a:solidFill>
            </a:ln>
          </c:spPr>
          <c:marker>
            <c:symbol val="none"/>
          </c:marker>
          <c:cat>
            <c:strRef>
              <c:f>'AI Capability in completing lon'!$A$38:$A$59</c:f>
            </c:strRef>
          </c:cat>
          <c:val>
            <c:numRef>
              <c:f>'AI Capability in completing lon'!$C$38:$C$59</c:f>
              <c:numCache/>
            </c:numRef>
          </c:val>
          <c:smooth val="0"/>
        </c:ser>
        <c:axId val="1944400964"/>
        <c:axId val="1313478461"/>
      </c:lineChart>
      <c:catAx>
        <c:axId val="1944400964"/>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313478461"/>
      </c:catAx>
      <c:valAx>
        <c:axId val="1313478461"/>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Horizon Length (Hours)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440096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AI Capability Growth (Log Scale)</a:t>
            </a:r>
          </a:p>
        </c:rich>
      </c:tx>
      <c:overlay val="0"/>
    </c:title>
    <c:plotArea>
      <c:layout/>
      <c:lineChart>
        <c:ser>
          <c:idx val="0"/>
          <c:order val="0"/>
          <c:tx>
            <c:strRef>
              <c:f>'AI Capability in completing lon'!$E$37</c:f>
            </c:strRef>
          </c:tx>
          <c:spPr>
            <a:ln cmpd="sng">
              <a:solidFill>
                <a:srgbClr val="4285F4"/>
              </a:solidFill>
            </a:ln>
          </c:spPr>
          <c:marker>
            <c:symbol val="none"/>
          </c:marker>
          <c:cat>
            <c:strRef>
              <c:f>'AI Capability in completing lon'!$A$38:$A$59</c:f>
            </c:strRef>
          </c:cat>
          <c:val>
            <c:numRef>
              <c:f>'AI Capability in completing lon'!$E$38:$E$59</c:f>
              <c:numCache/>
            </c:numRef>
          </c:val>
          <c:smooth val="0"/>
        </c:ser>
        <c:ser>
          <c:idx val="1"/>
          <c:order val="1"/>
          <c:tx>
            <c:strRef>
              <c:f>'AI Capability in completing lon'!$F$37</c:f>
            </c:strRef>
          </c:tx>
          <c:spPr>
            <a:ln cmpd="sng">
              <a:solidFill>
                <a:srgbClr val="EA4335"/>
              </a:solidFill>
            </a:ln>
          </c:spPr>
          <c:marker>
            <c:symbol val="none"/>
          </c:marker>
          <c:cat>
            <c:strRef>
              <c:f>'AI Capability in completing lon'!$A$38:$A$59</c:f>
            </c:strRef>
          </c:cat>
          <c:val>
            <c:numRef>
              <c:f>'AI Capability in completing lon'!$F$38:$F$59</c:f>
              <c:numCache/>
            </c:numRef>
          </c:val>
          <c:smooth val="0"/>
        </c:ser>
        <c:axId val="1409843370"/>
        <c:axId val="1634187024"/>
      </c:lineChart>
      <c:catAx>
        <c:axId val="1409843370"/>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634187024"/>
      </c:catAx>
      <c:valAx>
        <c:axId val="1634187024"/>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Log10(Hours)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984337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AI Incident Counts by Domain (2016–2025)</a:t>
            </a:r>
          </a:p>
        </c:rich>
      </c:tx>
      <c:overlay val="0"/>
    </c:title>
    <c:plotArea>
      <c:layout/>
      <c:barChart>
        <c:barDir val="col"/>
        <c:grouping val="stacked"/>
        <c:ser>
          <c:idx val="0"/>
          <c:order val="0"/>
          <c:tx>
            <c:strRef>
              <c:f>'All Categories (Named)'!$B$1</c:f>
            </c:strRef>
          </c:tx>
          <c:spPr>
            <a:solidFill>
              <a:schemeClr val="accent1"/>
            </a:solidFill>
            <a:ln cmpd="sng">
              <a:solidFill>
                <a:srgbClr val="000000"/>
              </a:solidFill>
            </a:ln>
          </c:spPr>
          <c:cat>
            <c:strRef>
              <c:f>'All Categories (Named)'!$A$2:$A$11</c:f>
            </c:strRef>
          </c:cat>
          <c:val>
            <c:numRef>
              <c:f>'All Categories (Named)'!$B$2:$B$11</c:f>
              <c:numCache/>
            </c:numRef>
          </c:val>
        </c:ser>
        <c:ser>
          <c:idx val="1"/>
          <c:order val="1"/>
          <c:tx>
            <c:strRef>
              <c:f>'All Categories (Named)'!$C$1</c:f>
            </c:strRef>
          </c:tx>
          <c:spPr>
            <a:solidFill>
              <a:schemeClr val="accent2"/>
            </a:solidFill>
            <a:ln cmpd="sng">
              <a:solidFill>
                <a:srgbClr val="000000"/>
              </a:solidFill>
            </a:ln>
          </c:spPr>
          <c:cat>
            <c:strRef>
              <c:f>'All Categories (Named)'!$A$2:$A$11</c:f>
            </c:strRef>
          </c:cat>
          <c:val>
            <c:numRef>
              <c:f>'All Categories (Named)'!$C$2:$C$11</c:f>
              <c:numCache/>
            </c:numRef>
          </c:val>
        </c:ser>
        <c:ser>
          <c:idx val="2"/>
          <c:order val="2"/>
          <c:tx>
            <c:strRef>
              <c:f>'All Categories (Named)'!$D$1</c:f>
            </c:strRef>
          </c:tx>
          <c:spPr>
            <a:solidFill>
              <a:schemeClr val="accent3"/>
            </a:solidFill>
            <a:ln cmpd="sng">
              <a:solidFill>
                <a:srgbClr val="000000"/>
              </a:solidFill>
            </a:ln>
          </c:spPr>
          <c:cat>
            <c:strRef>
              <c:f>'All Categories (Named)'!$A$2:$A$11</c:f>
            </c:strRef>
          </c:cat>
          <c:val>
            <c:numRef>
              <c:f>'All Categories (Named)'!$D$2:$D$11</c:f>
              <c:numCache/>
            </c:numRef>
          </c:val>
        </c:ser>
        <c:ser>
          <c:idx val="3"/>
          <c:order val="3"/>
          <c:tx>
            <c:strRef>
              <c:f>'All Categories (Named)'!$E$1</c:f>
            </c:strRef>
          </c:tx>
          <c:spPr>
            <a:solidFill>
              <a:schemeClr val="accent4"/>
            </a:solidFill>
            <a:ln cmpd="sng">
              <a:solidFill>
                <a:srgbClr val="000000"/>
              </a:solidFill>
            </a:ln>
          </c:spPr>
          <c:cat>
            <c:strRef>
              <c:f>'All Categories (Named)'!$A$2:$A$11</c:f>
            </c:strRef>
          </c:cat>
          <c:val>
            <c:numRef>
              <c:f>'All Categories (Named)'!$E$2:$E$11</c:f>
              <c:numCache/>
            </c:numRef>
          </c:val>
        </c:ser>
        <c:ser>
          <c:idx val="4"/>
          <c:order val="4"/>
          <c:tx>
            <c:strRef>
              <c:f>'All Categories (Named)'!$F$1</c:f>
            </c:strRef>
          </c:tx>
          <c:spPr>
            <a:solidFill>
              <a:schemeClr val="accent5"/>
            </a:solidFill>
            <a:ln cmpd="sng">
              <a:solidFill>
                <a:srgbClr val="000000"/>
              </a:solidFill>
            </a:ln>
          </c:spPr>
          <c:cat>
            <c:strRef>
              <c:f>'All Categories (Named)'!$A$2:$A$11</c:f>
            </c:strRef>
          </c:cat>
          <c:val>
            <c:numRef>
              <c:f>'All Categories (Named)'!$F$2:$F$11</c:f>
              <c:numCache/>
            </c:numRef>
          </c:val>
        </c:ser>
        <c:ser>
          <c:idx val="5"/>
          <c:order val="5"/>
          <c:tx>
            <c:strRef>
              <c:f>'All Categories (Named)'!$G$1</c:f>
            </c:strRef>
          </c:tx>
          <c:spPr>
            <a:solidFill>
              <a:schemeClr val="accent6"/>
            </a:solidFill>
            <a:ln cmpd="sng">
              <a:solidFill>
                <a:srgbClr val="000000"/>
              </a:solidFill>
            </a:ln>
          </c:spPr>
          <c:cat>
            <c:strRef>
              <c:f>'All Categories (Named)'!$A$2:$A$11</c:f>
            </c:strRef>
          </c:cat>
          <c:val>
            <c:numRef>
              <c:f>'All Categories (Named)'!$G$2:$G$11</c:f>
              <c:numCache/>
            </c:numRef>
          </c:val>
        </c:ser>
        <c:ser>
          <c:idx val="6"/>
          <c:order val="6"/>
          <c:tx>
            <c:strRef>
              <c:f>'All Categories (Named)'!$H$1</c:f>
            </c:strRef>
          </c:tx>
          <c:spPr>
            <a:solidFill>
              <a:schemeClr val="accent1">
                <a:lumOff val="30000"/>
              </a:schemeClr>
            </a:solidFill>
            <a:ln cmpd="sng">
              <a:solidFill>
                <a:srgbClr val="000000"/>
              </a:solidFill>
            </a:ln>
          </c:spPr>
          <c:cat>
            <c:strRef>
              <c:f>'All Categories (Named)'!$A$2:$A$11</c:f>
            </c:strRef>
          </c:cat>
          <c:val>
            <c:numRef>
              <c:f>'All Categories (Named)'!$H$2:$H$11</c:f>
              <c:numCache/>
            </c:numRef>
          </c:val>
        </c:ser>
        <c:overlap val="100"/>
        <c:axId val="764017135"/>
        <c:axId val="914604132"/>
      </c:barChart>
      <c:catAx>
        <c:axId val="764017135"/>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914604132"/>
      </c:catAx>
      <c:valAx>
        <c:axId val="914604132"/>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Incident 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401713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Malicious vs Non-Malicious AI Incidents (2016–2025)</a:t>
            </a:r>
          </a:p>
        </c:rich>
      </c:tx>
      <c:overlay val="0"/>
    </c:title>
    <c:plotArea>
      <c:layout/>
      <c:lineChart>
        <c:ser>
          <c:idx val="0"/>
          <c:order val="0"/>
          <c:tx>
            <c:strRef>
              <c:f>'All Categories (Named)'!$B$21</c:f>
            </c:strRef>
          </c:tx>
          <c:spPr>
            <a:ln cmpd="sng">
              <a:solidFill>
                <a:srgbClr val="4285F4"/>
              </a:solidFill>
            </a:ln>
          </c:spPr>
          <c:marker>
            <c:symbol val="none"/>
          </c:marker>
          <c:cat>
            <c:strRef>
              <c:f>'All Categories (Named)'!$A$22:$A$31</c:f>
            </c:strRef>
          </c:cat>
          <c:val>
            <c:numRef>
              <c:f>'All Categories (Named)'!$B$22:$B$31</c:f>
              <c:numCache/>
            </c:numRef>
          </c:val>
          <c:smooth val="0"/>
        </c:ser>
        <c:ser>
          <c:idx val="1"/>
          <c:order val="1"/>
          <c:tx>
            <c:strRef>
              <c:f>'All Categories (Named)'!$C$21</c:f>
            </c:strRef>
          </c:tx>
          <c:spPr>
            <a:ln cmpd="sng">
              <a:solidFill>
                <a:srgbClr val="EA4335"/>
              </a:solidFill>
            </a:ln>
          </c:spPr>
          <c:marker>
            <c:symbol val="none"/>
          </c:marker>
          <c:cat>
            <c:strRef>
              <c:f>'All Categories (Named)'!$A$22:$A$31</c:f>
            </c:strRef>
          </c:cat>
          <c:val>
            <c:numRef>
              <c:f>'All Categories (Named)'!$C$22:$C$31</c:f>
              <c:numCache/>
            </c:numRef>
          </c:val>
          <c:smooth val="0"/>
        </c:ser>
        <c:ser>
          <c:idx val="2"/>
          <c:order val="2"/>
          <c:tx>
            <c:strRef>
              <c:f>'All Categories (Named)'!$D$21</c:f>
            </c:strRef>
          </c:tx>
          <c:spPr>
            <a:ln cmpd="sng">
              <a:solidFill>
                <a:srgbClr val="FBBC04"/>
              </a:solidFill>
            </a:ln>
          </c:spPr>
          <c:marker>
            <c:symbol val="none"/>
          </c:marker>
          <c:cat>
            <c:strRef>
              <c:f>'All Categories (Named)'!$A$22:$A$31</c:f>
            </c:strRef>
          </c:cat>
          <c:val>
            <c:numRef>
              <c:f>'All Categories (Named)'!$D$22:$D$31</c:f>
              <c:numCache/>
            </c:numRef>
          </c:val>
          <c:smooth val="0"/>
        </c:ser>
        <c:axId val="1850515968"/>
        <c:axId val="1678557385"/>
      </c:lineChart>
      <c:catAx>
        <c:axId val="1850515968"/>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678557385"/>
      </c:catAx>
      <c:valAx>
        <c:axId val="1678557385"/>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Incident 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0515968"/>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228600</xdr:colOff>
      <xdr:row>1</xdr:row>
      <xdr:rowOff>133350</xdr:rowOff>
    </xdr:from>
    <xdr:ext cx="9353550" cy="50387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438150</xdr:colOff>
      <xdr:row>29</xdr:row>
      <xdr:rowOff>95250</xdr:rowOff>
    </xdr:from>
    <xdr:ext cx="9353550" cy="50387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257175</xdr:colOff>
      <xdr:row>0</xdr:row>
      <xdr:rowOff>19050</xdr:rowOff>
    </xdr:from>
    <xdr:ext cx="5391150" cy="26955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190500</xdr:colOff>
      <xdr:row>19</xdr:row>
      <xdr:rowOff>142875</xdr:rowOff>
    </xdr:from>
    <xdr:ext cx="5391150" cy="26955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urworldindata.org/grapher/mental-illness-estimated-cases?tab=line&amp;time=earliest..2021&amp;tableFilter=continents" TargetMode="External"/><Relationship Id="rId2" Type="http://schemas.openxmlformats.org/officeDocument/2006/relationships/hyperlink" Target="https://www.who.int/news-room/fact-sheets/detail/mental-disorder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ata.worldbank.org/indicator/SP.POP.TOTL?end=2024&amp;start=1998&amp;view=chart" TargetMode="External"/><Relationship Id="rId2" Type="http://schemas.openxmlformats.org/officeDocument/2006/relationships/hyperlink" Target="https://population.un.org/wpp/?utm_source=chatgpt.co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ourworldindata.org/rise-of-social-media" TargetMode="External"/><Relationship Id="rId2" Type="http://schemas.openxmlformats.org/officeDocument/2006/relationships/hyperlink" Target="https://www.statista.com/topics/1164/social-networks/"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www.oecd.org/content/dam/oecd/en/publications/reports/2023/12/pisa-2022-results-volume-i_76772a36/53f23881-en.pdf?utm_source=chatgpt.com" TargetMode="External"/><Relationship Id="rId10" Type="http://schemas.openxmlformats.org/officeDocument/2006/relationships/hyperlink" Target="https://nces.ed.gov/fastfacts/display.asp?id=38&amp;utm_source=chatgpt.com" TargetMode="External"/><Relationship Id="rId13" Type="http://schemas.openxmlformats.org/officeDocument/2006/relationships/hyperlink" Target="https://www.nationsreportcard.gov/reports/mathematics/2024/g12/?utm_source=chatgpt.com" TargetMode="External"/><Relationship Id="rId12" Type="http://schemas.openxmlformats.org/officeDocument/2006/relationships/hyperlink" Target="https://www.nationsreportcard.gov/highlights/ltt/2023/?utm_source=chatgpt.com" TargetMode="External"/><Relationship Id="rId1" Type="http://schemas.openxmlformats.org/officeDocument/2006/relationships/hyperlink" Target="https://www.oecd.org/en/publications/pisa-2022-results-volume-i_53f23881-en.html?utm_source=chatgpt.com" TargetMode="External"/><Relationship Id="rId2" Type="http://schemas.openxmlformats.org/officeDocument/2006/relationships/hyperlink" Target="https://nces.ed.gov/fastfacts/display.asp?id=38&amp;utm_source=chatgpt.com" TargetMode="External"/><Relationship Id="rId3" Type="http://schemas.openxmlformats.org/officeDocument/2006/relationships/hyperlink" Target="https://nces.ed.gov/fastfacts/display.asp?id=38&amp;utm_source=chatgpt.com" TargetMode="External"/><Relationship Id="rId4" Type="http://schemas.openxmlformats.org/officeDocument/2006/relationships/hyperlink" Target="https://www.oecd.org/content/dam/oecd/en/publications/reports/2023/12/pisa-2022-results-volume-i_76772a36/53f23881-en.pdf?utm_source=chatgpt.com" TargetMode="External"/><Relationship Id="rId9" Type="http://schemas.openxmlformats.org/officeDocument/2006/relationships/hyperlink" Target="https://nces.ed.gov/use-work/resource-library/report/statistical-analysis-report/2022-long-term-trend-reading-and-mathematics-age-9-highlights-report?utm_source=chatgpt.com" TargetMode="External"/><Relationship Id="rId14" Type="http://schemas.openxmlformats.org/officeDocument/2006/relationships/drawing" Target="../drawings/drawing5.xml"/><Relationship Id="rId5" Type="http://schemas.openxmlformats.org/officeDocument/2006/relationships/hyperlink" Target="https://www.pnas.org/doi/10.1073/pnas.1718793115?utm_source=chatgpt.com" TargetMode="External"/><Relationship Id="rId6" Type="http://schemas.openxmlformats.org/officeDocument/2006/relationships/hyperlink" Target="https://nces.ed.gov/fastfacts/display.asp?id=38&amp;utm_source=chatgpt.com" TargetMode="External"/><Relationship Id="rId7" Type="http://schemas.openxmlformats.org/officeDocument/2006/relationships/hyperlink" Target="https://www.oecd.org/content/dam/oecd/en/publications/reports/2023/12/pisa-2022-results-volume-i_76772a36/53f23881-en.pdf?utm_source=chatgpt.com" TargetMode="External"/><Relationship Id="rId8" Type="http://schemas.openxmlformats.org/officeDocument/2006/relationships/hyperlink" Target="https://journals.sagepub.com/doi/abs/10.1177/1745691615577701?utm_source=chatgpt.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metr.org/blog/2025-03-19-measuring-ai-ability-to-complete-long-tasks/"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airisk.mit.edu/ai-incident-tracker"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18.0"/>
    <col customWidth="1" min="3" max="3" width="16.25"/>
    <col customWidth="1" min="4" max="4" width="16.0"/>
    <col customWidth="1" min="5" max="5" width="25.88"/>
    <col customWidth="1" min="6" max="6" width="23.0"/>
    <col customWidth="1" min="7" max="7" width="39.63"/>
    <col customWidth="1" min="8" max="8" width="51.88"/>
    <col customWidth="1" min="9" max="9" width="48.75"/>
    <col customWidth="1" min="10" max="26" width="7.63"/>
  </cols>
  <sheetData>
    <row r="1">
      <c r="A1" s="1" t="s">
        <v>0</v>
      </c>
      <c r="B1" s="1" t="s">
        <v>1</v>
      </c>
      <c r="C1" s="1" t="s">
        <v>2</v>
      </c>
      <c r="D1" s="1" t="s">
        <v>3</v>
      </c>
      <c r="E1" s="1" t="s">
        <v>4</v>
      </c>
      <c r="F1" s="2" t="s">
        <v>5</v>
      </c>
      <c r="G1" s="2" t="s">
        <v>6</v>
      </c>
      <c r="H1" s="1" t="s">
        <v>7</v>
      </c>
      <c r="I1" s="1" t="s">
        <v>8</v>
      </c>
      <c r="J1" s="1" t="s">
        <v>9</v>
      </c>
    </row>
    <row r="2">
      <c r="A2" s="1">
        <v>2022.0</v>
      </c>
      <c r="B2" s="1" t="s">
        <v>10</v>
      </c>
      <c r="C2" s="3"/>
      <c r="D2" s="4"/>
      <c r="E2" s="4"/>
      <c r="F2" s="5">
        <f t="array" ref="F2">IFERROR(XLOOKUP(A2,Population!A:A,Population!B:B),"")</f>
        <v>7.99</v>
      </c>
      <c r="G2" s="6">
        <f t="shared" ref="G2:G8" si="1">IFERROR(C2/(F2*1000),"")</f>
        <v>0</v>
      </c>
      <c r="H2" s="1" t="s">
        <v>11</v>
      </c>
      <c r="I2" s="1" t="s">
        <v>12</v>
      </c>
      <c r="J2" s="1" t="s">
        <v>13</v>
      </c>
    </row>
    <row r="3">
      <c r="A3" s="1">
        <v>2023.0</v>
      </c>
      <c r="B3" s="1" t="s">
        <v>14</v>
      </c>
      <c r="C3" s="3">
        <v>70.0</v>
      </c>
      <c r="D3" s="4" t="str">
        <f t="shared" ref="D3:D8" si="2">IFERROR((C3-C2)/C2,"")</f>
        <v/>
      </c>
      <c r="E3" s="4"/>
      <c r="F3" s="5">
        <f t="array" ref="F3">IFERROR(XLOOKUP(A3,Population!A:A,Population!B:B),"")</f>
        <v>8.06</v>
      </c>
      <c r="G3" s="6">
        <f t="shared" si="1"/>
        <v>0.008684863524</v>
      </c>
      <c r="H3" s="1" t="s">
        <v>15</v>
      </c>
    </row>
    <row r="4">
      <c r="A4" s="1">
        <v>2023.0</v>
      </c>
      <c r="B4" s="1" t="s">
        <v>10</v>
      </c>
      <c r="C4" s="3">
        <v>100.0</v>
      </c>
      <c r="D4" s="4">
        <f t="shared" si="2"/>
        <v>0.4285714286</v>
      </c>
      <c r="E4" s="4" t="str">
        <f t="shared" ref="E4:E8" si="3">IFERROR((C4-C2)/C2,"")</f>
        <v/>
      </c>
      <c r="F4" s="5">
        <f t="array" ref="F4">IFERROR(XLOOKUP(A4,Population!A:A,Population!B:B),"")</f>
        <v>8.06</v>
      </c>
      <c r="G4" s="6">
        <f t="shared" si="1"/>
        <v>0.01240694789</v>
      </c>
      <c r="H4" s="1" t="s">
        <v>16</v>
      </c>
      <c r="I4" s="1" t="s">
        <v>17</v>
      </c>
      <c r="J4" s="1" t="s">
        <v>18</v>
      </c>
    </row>
    <row r="5">
      <c r="A5" s="1">
        <v>2024.0</v>
      </c>
      <c r="B5" s="1" t="s">
        <v>14</v>
      </c>
      <c r="C5" s="3">
        <v>200.0</v>
      </c>
      <c r="D5" s="4">
        <f t="shared" si="2"/>
        <v>1</v>
      </c>
      <c r="E5" s="4">
        <f t="shared" si="3"/>
        <v>1.857142857</v>
      </c>
      <c r="F5" s="5">
        <f t="array" ref="F5">IFERROR(XLOOKUP(A5,Population!A:A,Population!B:B),"")</f>
        <v>8.14</v>
      </c>
      <c r="G5" s="6">
        <f t="shared" si="1"/>
        <v>0.02457002457</v>
      </c>
      <c r="H5" s="1" t="s">
        <v>19</v>
      </c>
      <c r="I5" s="1" t="s">
        <v>20</v>
      </c>
      <c r="J5" s="1" t="s">
        <v>21</v>
      </c>
    </row>
    <row r="6">
      <c r="A6" s="1">
        <v>2024.0</v>
      </c>
      <c r="B6" s="1" t="s">
        <v>10</v>
      </c>
      <c r="C6" s="3">
        <v>300.0</v>
      </c>
      <c r="D6" s="4">
        <f t="shared" si="2"/>
        <v>0.5</v>
      </c>
      <c r="E6" s="4">
        <f t="shared" si="3"/>
        <v>2</v>
      </c>
      <c r="F6" s="5">
        <f t="array" ref="F6">IFERROR(XLOOKUP(A6,Population!A:A,Population!B:B),"")</f>
        <v>8.14</v>
      </c>
      <c r="G6" s="6">
        <f t="shared" si="1"/>
        <v>0.03685503686</v>
      </c>
      <c r="H6" s="1" t="s">
        <v>22</v>
      </c>
      <c r="I6" s="1" t="s">
        <v>23</v>
      </c>
      <c r="J6" s="1" t="s">
        <v>24</v>
      </c>
    </row>
    <row r="7">
      <c r="A7" s="1">
        <v>2025.0</v>
      </c>
      <c r="B7" s="1" t="s">
        <v>14</v>
      </c>
      <c r="C7" s="3">
        <v>400.0</v>
      </c>
      <c r="D7" s="4">
        <f t="shared" si="2"/>
        <v>0.3333333333</v>
      </c>
      <c r="E7" s="4">
        <f t="shared" si="3"/>
        <v>1</v>
      </c>
      <c r="F7" s="5">
        <f t="array" ref="F7">IFERROR(XLOOKUP(A7,Population!A:A,Population!B:B),"")</f>
        <v>8.21</v>
      </c>
      <c r="G7" s="6">
        <f t="shared" si="1"/>
        <v>0.04872107186</v>
      </c>
      <c r="H7" s="1" t="s">
        <v>25</v>
      </c>
      <c r="I7" s="1" t="s">
        <v>26</v>
      </c>
      <c r="J7" s="1" t="s">
        <v>27</v>
      </c>
    </row>
    <row r="8">
      <c r="A8" s="1">
        <v>2025.0</v>
      </c>
      <c r="B8" s="1" t="s">
        <v>10</v>
      </c>
      <c r="C8" s="3">
        <v>750.0</v>
      </c>
      <c r="D8" s="4">
        <f t="shared" si="2"/>
        <v>0.875</v>
      </c>
      <c r="E8" s="4">
        <f t="shared" si="3"/>
        <v>1.5</v>
      </c>
      <c r="F8" s="5">
        <f t="array" ref="F8">IFERROR(XLOOKUP(A8,Population!A:A,Population!B:B),"")</f>
        <v>8.21</v>
      </c>
      <c r="G8" s="6">
        <f t="shared" si="1"/>
        <v>0.09135200974</v>
      </c>
      <c r="H8" s="1" t="s">
        <v>28</v>
      </c>
      <c r="I8" s="1" t="s">
        <v>29</v>
      </c>
      <c r="J8" s="1"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3.88"/>
    <col customWidth="1" min="3" max="3" width="47.0"/>
    <col customWidth="1" min="4" max="4" width="42.63"/>
  </cols>
  <sheetData>
    <row r="2">
      <c r="A2" s="7" t="s">
        <v>0</v>
      </c>
      <c r="B2" s="7" t="s">
        <v>31</v>
      </c>
      <c r="C2" s="7" t="s">
        <v>32</v>
      </c>
      <c r="D2" s="2" t="s">
        <v>8</v>
      </c>
      <c r="F2" s="7" t="s">
        <v>33</v>
      </c>
      <c r="G2" s="7" t="s">
        <v>34</v>
      </c>
      <c r="H2" s="7" t="s">
        <v>35</v>
      </c>
      <c r="I2" s="7" t="s">
        <v>36</v>
      </c>
      <c r="J2" s="7" t="s">
        <v>37</v>
      </c>
    </row>
    <row r="3">
      <c r="A3" s="2">
        <v>2012.0</v>
      </c>
      <c r="B3" s="2">
        <v>656.0</v>
      </c>
      <c r="C3" s="2">
        <v>0.66</v>
      </c>
      <c r="D3" s="8" t="s">
        <v>38</v>
      </c>
      <c r="F3" s="2">
        <v>320.0</v>
      </c>
      <c r="G3" s="2">
        <v>250.0</v>
      </c>
      <c r="H3" s="2">
        <v>49.0</v>
      </c>
      <c r="I3" s="2">
        <v>24.0</v>
      </c>
      <c r="J3" s="2">
        <v>13.0</v>
      </c>
    </row>
    <row r="4">
      <c r="A4" s="2">
        <v>2013.0</v>
      </c>
      <c r="B4" s="2">
        <v>666.0</v>
      </c>
      <c r="C4" s="2">
        <v>0.67</v>
      </c>
      <c r="F4" s="2">
        <v>325.0</v>
      </c>
      <c r="G4" s="2">
        <v>255.0</v>
      </c>
      <c r="H4" s="2">
        <v>49.0</v>
      </c>
      <c r="I4" s="2">
        <v>24.0</v>
      </c>
      <c r="J4" s="2">
        <v>13.0</v>
      </c>
    </row>
    <row r="5">
      <c r="A5" s="2">
        <v>2014.0</v>
      </c>
      <c r="B5" s="2">
        <v>679.0</v>
      </c>
      <c r="C5" s="2">
        <v>0.68</v>
      </c>
      <c r="F5" s="2">
        <v>330.0</v>
      </c>
      <c r="G5" s="2">
        <v>260.0</v>
      </c>
      <c r="H5" s="2">
        <v>50.0</v>
      </c>
      <c r="I5" s="2">
        <v>25.0</v>
      </c>
      <c r="J5" s="2">
        <v>14.0</v>
      </c>
    </row>
    <row r="6">
      <c r="A6" s="2">
        <v>2015.0</v>
      </c>
      <c r="B6" s="2">
        <v>689.0</v>
      </c>
      <c r="C6" s="2">
        <v>0.69</v>
      </c>
      <c r="F6" s="2">
        <v>335.0</v>
      </c>
      <c r="G6" s="2">
        <v>265.0</v>
      </c>
      <c r="H6" s="2">
        <v>50.0</v>
      </c>
      <c r="I6" s="2">
        <v>25.0</v>
      </c>
      <c r="J6" s="2">
        <v>14.0</v>
      </c>
    </row>
    <row r="7">
      <c r="A7" s="2">
        <v>2016.0</v>
      </c>
      <c r="B7" s="2">
        <v>701.0</v>
      </c>
      <c r="C7" s="2">
        <v>0.7</v>
      </c>
      <c r="F7" s="2">
        <v>340.0</v>
      </c>
      <c r="G7" s="2">
        <v>270.0</v>
      </c>
      <c r="H7" s="2">
        <v>51.0</v>
      </c>
      <c r="I7" s="2">
        <v>25.0</v>
      </c>
      <c r="J7" s="2">
        <v>15.0</v>
      </c>
    </row>
    <row r="8">
      <c r="A8" s="2">
        <v>2017.0</v>
      </c>
      <c r="B8" s="2">
        <v>711.0</v>
      </c>
      <c r="C8" s="2">
        <v>0.71</v>
      </c>
      <c r="F8" s="2">
        <v>345.0</v>
      </c>
      <c r="G8" s="2">
        <v>275.0</v>
      </c>
      <c r="H8" s="2">
        <v>51.0</v>
      </c>
      <c r="I8" s="2">
        <v>25.0</v>
      </c>
      <c r="J8" s="2">
        <v>15.0</v>
      </c>
    </row>
    <row r="9">
      <c r="A9" s="2">
        <v>2018.0</v>
      </c>
      <c r="B9" s="2">
        <v>723.0</v>
      </c>
      <c r="C9" s="2">
        <v>0.72</v>
      </c>
      <c r="F9" s="2">
        <v>350.0</v>
      </c>
      <c r="G9" s="2">
        <v>280.0</v>
      </c>
      <c r="H9" s="2">
        <v>52.0</v>
      </c>
      <c r="I9" s="2">
        <v>26.0</v>
      </c>
      <c r="J9" s="2">
        <v>15.0</v>
      </c>
    </row>
    <row r="10">
      <c r="A10" s="2">
        <v>2019.0</v>
      </c>
      <c r="B10" s="2">
        <v>744.0</v>
      </c>
      <c r="C10" s="2">
        <v>0.74</v>
      </c>
      <c r="F10" s="2">
        <v>360.0</v>
      </c>
      <c r="G10" s="2">
        <v>290.0</v>
      </c>
      <c r="H10" s="2">
        <v>52.0</v>
      </c>
      <c r="I10" s="2">
        <v>26.0</v>
      </c>
      <c r="J10" s="2">
        <v>16.0</v>
      </c>
    </row>
    <row r="11">
      <c r="A11" s="2">
        <v>2020.0</v>
      </c>
      <c r="B11" s="2">
        <v>785.0</v>
      </c>
      <c r="C11" s="2">
        <v>0.79</v>
      </c>
      <c r="F11" s="2">
        <v>370.0</v>
      </c>
      <c r="G11" s="2">
        <v>320.0</v>
      </c>
      <c r="H11" s="2">
        <v>53.0</v>
      </c>
      <c r="I11" s="2">
        <v>26.0</v>
      </c>
      <c r="J11" s="2">
        <v>16.0</v>
      </c>
    </row>
    <row r="12">
      <c r="A12" s="2">
        <v>2021.0</v>
      </c>
      <c r="B12" s="2">
        <v>808.0</v>
      </c>
      <c r="C12" s="2">
        <v>0.81</v>
      </c>
      <c r="F12" s="2">
        <v>380.0</v>
      </c>
      <c r="G12" s="2">
        <v>330.0</v>
      </c>
      <c r="H12" s="2">
        <v>54.0</v>
      </c>
      <c r="I12" s="2">
        <v>27.0</v>
      </c>
      <c r="J12" s="2">
        <v>17.0</v>
      </c>
    </row>
    <row r="13">
      <c r="A13" s="2">
        <v>2022.0</v>
      </c>
      <c r="B13" s="9">
        <v>900.0</v>
      </c>
      <c r="C13" s="2">
        <v>0.9</v>
      </c>
      <c r="D13" s="8" t="s">
        <v>39</v>
      </c>
    </row>
    <row r="14">
      <c r="A14" s="2">
        <v>2023.0</v>
      </c>
      <c r="B14" s="9">
        <v>932.0</v>
      </c>
      <c r="C14" s="2">
        <v>0.932</v>
      </c>
    </row>
    <row r="15">
      <c r="A15" s="2">
        <v>2024.0</v>
      </c>
      <c r="B15" s="2">
        <v>970.0</v>
      </c>
      <c r="C15" s="2">
        <v>0.97</v>
      </c>
    </row>
  </sheetData>
  <mergeCells count="2">
    <mergeCell ref="D3:D12"/>
    <mergeCell ref="D13:D15"/>
  </mergeCells>
  <hyperlinks>
    <hyperlink r:id="rId1" ref="D3"/>
    <hyperlink r:id="rId2" ref="D1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20.0"/>
    <col customWidth="1" min="3" max="3" width="71.13"/>
    <col customWidth="1" min="4" max="26" width="7.63"/>
  </cols>
  <sheetData>
    <row r="1">
      <c r="A1" s="1" t="s">
        <v>0</v>
      </c>
      <c r="B1" s="1" t="s">
        <v>40</v>
      </c>
      <c r="C1" s="1" t="s">
        <v>8</v>
      </c>
    </row>
    <row r="2">
      <c r="A2" s="2">
        <v>2012.0</v>
      </c>
      <c r="B2" s="10">
        <v>7.18</v>
      </c>
      <c r="C2" s="8" t="s">
        <v>41</v>
      </c>
    </row>
    <row r="3">
      <c r="A3" s="2">
        <v>2013.0</v>
      </c>
      <c r="B3" s="10">
        <v>7.27</v>
      </c>
    </row>
    <row r="4">
      <c r="A4" s="2">
        <v>2014.0</v>
      </c>
      <c r="B4" s="10">
        <v>7.35</v>
      </c>
    </row>
    <row r="5">
      <c r="A5" s="2">
        <v>2015.0</v>
      </c>
      <c r="B5" s="10">
        <v>7.44</v>
      </c>
    </row>
    <row r="6">
      <c r="A6" s="2">
        <v>2016.0</v>
      </c>
      <c r="B6" s="2">
        <v>7.53</v>
      </c>
    </row>
    <row r="7">
      <c r="A7" s="2">
        <v>2017.0</v>
      </c>
      <c r="B7" s="2">
        <v>7.61</v>
      </c>
    </row>
    <row r="8">
      <c r="A8" s="2">
        <v>2018.0</v>
      </c>
      <c r="B8" s="2">
        <v>7.7</v>
      </c>
    </row>
    <row r="9">
      <c r="A9" s="2">
        <v>2019.0</v>
      </c>
      <c r="B9" s="2">
        <v>7.78</v>
      </c>
    </row>
    <row r="10">
      <c r="A10" s="2">
        <v>2020.0</v>
      </c>
      <c r="B10" s="2">
        <v>7.86</v>
      </c>
    </row>
    <row r="11">
      <c r="A11" s="2">
        <v>2021.0</v>
      </c>
      <c r="B11" s="2">
        <v>7.92</v>
      </c>
    </row>
    <row r="12">
      <c r="A12" s="1">
        <v>2022.0</v>
      </c>
      <c r="B12" s="10">
        <v>7.99</v>
      </c>
    </row>
    <row r="13">
      <c r="A13" s="1">
        <v>2023.0</v>
      </c>
      <c r="B13" s="10">
        <v>8.06</v>
      </c>
    </row>
    <row r="14">
      <c r="A14" s="1">
        <v>2024.0</v>
      </c>
      <c r="B14" s="10">
        <v>8.14</v>
      </c>
    </row>
    <row r="15">
      <c r="A15" s="1">
        <v>2025.0</v>
      </c>
      <c r="B15" s="5">
        <v>8.21</v>
      </c>
      <c r="C15" s="1" t="s">
        <v>42</v>
      </c>
      <c r="D15" s="11" t="s">
        <v>43</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C2:C14"/>
  </mergeCells>
  <hyperlinks>
    <hyperlink r:id="rId1" ref="C2"/>
    <hyperlink r:id="rId2" ref="D15"/>
  </hyperlinks>
  <printOptions/>
  <pageMargins bottom="1.0" footer="0.0" header="0.0" left="0.75" right="0.75" top="1.0"/>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88"/>
    <col customWidth="1" min="2" max="2" width="40.75"/>
    <col customWidth="1" min="3" max="3" width="40.0"/>
    <col customWidth="1" min="4" max="4" width="15.5"/>
    <col customWidth="1" min="5" max="7" width="12.63"/>
  </cols>
  <sheetData>
    <row r="1">
      <c r="A1" s="2" t="s">
        <v>0</v>
      </c>
      <c r="B1" s="2" t="s">
        <v>44</v>
      </c>
      <c r="C1" s="12"/>
      <c r="D1" s="12"/>
    </row>
    <row r="2">
      <c r="A2" s="2">
        <v>2009.0</v>
      </c>
      <c r="B2" s="2">
        <v>0.97</v>
      </c>
      <c r="C2" s="8" t="s">
        <v>45</v>
      </c>
      <c r="D2" s="12"/>
    </row>
    <row r="3">
      <c r="A3" s="2">
        <v>2010.0</v>
      </c>
      <c r="B3" s="2">
        <v>1.22</v>
      </c>
      <c r="D3" s="12"/>
    </row>
    <row r="4">
      <c r="A4" s="2">
        <v>2011.0</v>
      </c>
      <c r="B4" s="2">
        <v>1.48</v>
      </c>
      <c r="D4" s="12"/>
    </row>
    <row r="5">
      <c r="A5" s="2">
        <v>2012.0</v>
      </c>
      <c r="B5" s="2">
        <v>1.73</v>
      </c>
      <c r="D5" s="12"/>
    </row>
    <row r="6">
      <c r="A6" s="2">
        <v>2013.0</v>
      </c>
      <c r="B6" s="2">
        <v>1.86</v>
      </c>
      <c r="D6" s="12"/>
    </row>
    <row r="7">
      <c r="A7" s="2">
        <v>2014.0</v>
      </c>
      <c r="B7" s="2">
        <v>2.05</v>
      </c>
    </row>
    <row r="8">
      <c r="A8" s="2">
        <v>2015.0</v>
      </c>
      <c r="B8" s="2">
        <v>2.28</v>
      </c>
    </row>
    <row r="9">
      <c r="A9" s="2">
        <v>2016.0</v>
      </c>
      <c r="B9" s="2">
        <v>2.5</v>
      </c>
    </row>
    <row r="10">
      <c r="A10" s="13">
        <v>2017.0</v>
      </c>
      <c r="B10" s="13">
        <v>2.73</v>
      </c>
      <c r="C10" s="14" t="s">
        <v>46</v>
      </c>
    </row>
    <row r="11">
      <c r="A11" s="15">
        <v>2018.0</v>
      </c>
      <c r="B11" s="15">
        <v>3.1</v>
      </c>
    </row>
    <row r="12">
      <c r="A12" s="13">
        <v>2019.0</v>
      </c>
      <c r="B12" s="13">
        <v>3.51</v>
      </c>
    </row>
    <row r="13">
      <c r="A13" s="15">
        <v>2020.0</v>
      </c>
      <c r="B13" s="15">
        <v>3.91</v>
      </c>
    </row>
    <row r="14">
      <c r="A14" s="13">
        <v>2021.0</v>
      </c>
      <c r="B14" s="13">
        <v>4.26</v>
      </c>
    </row>
    <row r="15">
      <c r="A15" s="15">
        <v>2022.0</v>
      </c>
      <c r="B15" s="15">
        <v>4.59</v>
      </c>
    </row>
    <row r="16">
      <c r="A16" s="13">
        <v>2023.0</v>
      </c>
      <c r="B16" s="13">
        <v>4.9</v>
      </c>
    </row>
    <row r="17">
      <c r="A17" s="15">
        <v>2024.0</v>
      </c>
      <c r="B17" s="15">
        <v>5.17</v>
      </c>
    </row>
  </sheetData>
  <mergeCells count="2">
    <mergeCell ref="C2:C9"/>
    <mergeCell ref="C10:C17"/>
  </mergeCells>
  <hyperlinks>
    <hyperlink r:id="rId1" ref="C2"/>
    <hyperlink r:id="rId2" ref="C10"/>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7.13"/>
    <col customWidth="1" min="3" max="3" width="32.88"/>
    <col customWidth="1" min="4" max="4" width="149.25"/>
    <col customWidth="1" min="5" max="5" width="100.5"/>
  </cols>
  <sheetData>
    <row r="1">
      <c r="A1" s="7" t="s">
        <v>0</v>
      </c>
      <c r="B1" s="16" t="s">
        <v>47</v>
      </c>
      <c r="C1" s="16" t="s">
        <v>48</v>
      </c>
      <c r="D1" s="7" t="s">
        <v>49</v>
      </c>
    </row>
    <row r="2">
      <c r="A2" s="2">
        <v>2012.0</v>
      </c>
      <c r="B2" s="9">
        <v>100.0</v>
      </c>
      <c r="C2" s="9" t="s">
        <v>50</v>
      </c>
      <c r="D2" s="11" t="s">
        <v>51</v>
      </c>
    </row>
    <row r="3">
      <c r="A3" s="2">
        <v>2013.0</v>
      </c>
      <c r="B3" s="9">
        <v>99.8</v>
      </c>
      <c r="C3" s="9" t="s">
        <v>52</v>
      </c>
      <c r="D3" s="11" t="s">
        <v>53</v>
      </c>
    </row>
    <row r="4">
      <c r="A4" s="2">
        <v>2014.0</v>
      </c>
      <c r="B4" s="9">
        <v>99.6</v>
      </c>
      <c r="C4" s="9" t="s">
        <v>52</v>
      </c>
      <c r="D4" s="11" t="s">
        <v>54</v>
      </c>
    </row>
    <row r="5">
      <c r="A5" s="2">
        <v>2015.0</v>
      </c>
      <c r="B5" s="9">
        <v>99.3</v>
      </c>
      <c r="C5" s="9" t="s">
        <v>55</v>
      </c>
      <c r="D5" s="11" t="s">
        <v>56</v>
      </c>
    </row>
    <row r="6">
      <c r="A6" s="2">
        <v>2016.0</v>
      </c>
      <c r="B6" s="9">
        <v>99.1</v>
      </c>
      <c r="C6" s="9" t="s">
        <v>52</v>
      </c>
      <c r="D6" s="11" t="s">
        <v>57</v>
      </c>
    </row>
    <row r="7">
      <c r="A7" s="2">
        <v>2017.0</v>
      </c>
      <c r="B7" s="9">
        <v>98.9</v>
      </c>
      <c r="C7" s="9" t="s">
        <v>52</v>
      </c>
      <c r="D7" s="11" t="s">
        <v>58</v>
      </c>
    </row>
    <row r="8">
      <c r="A8" s="2">
        <v>2018.0</v>
      </c>
      <c r="B8" s="9">
        <v>98.6</v>
      </c>
      <c r="C8" s="9" t="s">
        <v>55</v>
      </c>
      <c r="D8" s="11" t="s">
        <v>59</v>
      </c>
    </row>
    <row r="9">
      <c r="A9" s="2">
        <v>2019.0</v>
      </c>
      <c r="B9" s="9">
        <v>98.4</v>
      </c>
      <c r="C9" s="9" t="s">
        <v>52</v>
      </c>
      <c r="D9" s="11" t="s">
        <v>60</v>
      </c>
    </row>
    <row r="10">
      <c r="A10" s="2">
        <v>2020.0</v>
      </c>
      <c r="B10" s="9">
        <v>98.0</v>
      </c>
      <c r="C10" s="9" t="s">
        <v>61</v>
      </c>
      <c r="D10" s="11" t="s">
        <v>62</v>
      </c>
    </row>
    <row r="11">
      <c r="A11" s="2">
        <v>2021.0</v>
      </c>
      <c r="B11" s="9">
        <v>97.7</v>
      </c>
      <c r="C11" s="9" t="s">
        <v>55</v>
      </c>
      <c r="D11" s="11" t="s">
        <v>63</v>
      </c>
    </row>
    <row r="12">
      <c r="A12" s="2">
        <v>2022.0</v>
      </c>
      <c r="B12" s="9">
        <v>97.2</v>
      </c>
      <c r="C12" s="9" t="s">
        <v>64</v>
      </c>
      <c r="D12" s="8" t="s">
        <v>65</v>
      </c>
    </row>
    <row r="13">
      <c r="A13" s="2">
        <v>2023.0</v>
      </c>
      <c r="B13" s="9">
        <v>96.6</v>
      </c>
      <c r="C13" s="9" t="s">
        <v>66</v>
      </c>
      <c r="D13" s="8" t="s">
        <v>67</v>
      </c>
    </row>
    <row r="14">
      <c r="A14" s="2">
        <v>2024.0</v>
      </c>
      <c r="B14" s="9">
        <v>96.1</v>
      </c>
      <c r="C14" s="9" t="s">
        <v>64</v>
      </c>
      <c r="D14" s="8" t="s">
        <v>68</v>
      </c>
    </row>
    <row r="16">
      <c r="B16" s="2" t="s">
        <v>69</v>
      </c>
    </row>
    <row r="17">
      <c r="B17" s="2"/>
    </row>
    <row r="20">
      <c r="D20" s="2" t="s">
        <v>70</v>
      </c>
    </row>
  </sheetData>
  <mergeCells count="1">
    <mergeCell ref="D20:D42"/>
  </mergeCell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c r="A1" s="1" t="s">
        <v>71</v>
      </c>
      <c r="E1" s="11" t="s">
        <v>72</v>
      </c>
    </row>
    <row r="3">
      <c r="A3" s="1" t="s">
        <v>73</v>
      </c>
    </row>
    <row r="4">
      <c r="A4" s="1" t="s">
        <v>74</v>
      </c>
      <c r="B4" s="1" t="s">
        <v>75</v>
      </c>
      <c r="C4" s="1" t="s">
        <v>76</v>
      </c>
      <c r="D4" s="1" t="s">
        <v>77</v>
      </c>
      <c r="E4" s="1" t="s">
        <v>78</v>
      </c>
      <c r="F4" s="1" t="s">
        <v>79</v>
      </c>
      <c r="G4" s="1" t="s">
        <v>80</v>
      </c>
    </row>
    <row r="5">
      <c r="A5" s="1" t="s">
        <v>81</v>
      </c>
      <c r="B5" s="17">
        <v>43510.0</v>
      </c>
      <c r="C5" s="1" t="str">
        <f t="shared" ref="C5:C34" si="1">TEXT(B5,"yyyy-mm")</f>
        <v>2019-02</v>
      </c>
      <c r="D5" s="1">
        <v>0.039744</v>
      </c>
      <c r="E5" s="1">
        <v>0.005646</v>
      </c>
      <c r="F5" s="1">
        <v>0.101046</v>
      </c>
      <c r="G5" s="1" t="b">
        <v>1</v>
      </c>
    </row>
    <row r="6">
      <c r="A6" s="1" t="s">
        <v>82</v>
      </c>
      <c r="B6" s="17">
        <v>43979.0</v>
      </c>
      <c r="C6" s="1" t="str">
        <f t="shared" si="1"/>
        <v>2020-05</v>
      </c>
      <c r="D6" s="1">
        <v>0.148821</v>
      </c>
      <c r="E6" s="1">
        <v>0.034119</v>
      </c>
      <c r="F6" s="1">
        <v>0.161869</v>
      </c>
      <c r="G6" s="1" t="b">
        <v>1</v>
      </c>
    </row>
    <row r="7">
      <c r="A7" s="1" t="s">
        <v>83</v>
      </c>
      <c r="B7" s="17">
        <v>44635.0</v>
      </c>
      <c r="C7" s="1" t="str">
        <f t="shared" si="1"/>
        <v>2022-03</v>
      </c>
      <c r="D7" s="1">
        <v>0.604384</v>
      </c>
      <c r="E7" s="1">
        <v>0.173085</v>
      </c>
      <c r="F7" s="1">
        <v>0.214611</v>
      </c>
      <c r="G7" s="1" t="b">
        <v>1</v>
      </c>
    </row>
    <row r="8">
      <c r="A8" s="1" t="s">
        <v>84</v>
      </c>
      <c r="B8" s="17">
        <v>44999.0</v>
      </c>
      <c r="C8" s="1" t="str">
        <f t="shared" si="1"/>
        <v>2023-03</v>
      </c>
      <c r="D8" s="1">
        <v>5.364045</v>
      </c>
      <c r="E8" s="1">
        <v>0.965175</v>
      </c>
      <c r="F8" s="1">
        <v>0.361067</v>
      </c>
      <c r="G8" s="1" t="b">
        <v>1</v>
      </c>
    </row>
    <row r="9">
      <c r="A9" s="1" t="s">
        <v>85</v>
      </c>
      <c r="B9" s="17">
        <v>45236.0</v>
      </c>
      <c r="C9" s="1" t="str">
        <f t="shared" si="1"/>
        <v>2023-11</v>
      </c>
      <c r="D9" s="1">
        <v>8.557433</v>
      </c>
      <c r="E9" s="1">
        <v>1.453006</v>
      </c>
      <c r="F9" s="1">
        <v>0.404329</v>
      </c>
      <c r="G9" s="1" t="b">
        <v>1</v>
      </c>
    </row>
    <row r="10">
      <c r="A10" s="1" t="s">
        <v>86</v>
      </c>
      <c r="B10" s="17">
        <v>45316.0</v>
      </c>
      <c r="C10" s="1" t="str">
        <f t="shared" si="1"/>
        <v>2024-01</v>
      </c>
      <c r="D10" s="1">
        <v>5.366063</v>
      </c>
      <c r="E10" s="1">
        <v>1.197496</v>
      </c>
      <c r="F10" s="1">
        <v>0.351726</v>
      </c>
      <c r="G10" s="1" t="b">
        <v>0</v>
      </c>
    </row>
    <row r="11">
      <c r="A11" s="1" t="s">
        <v>87</v>
      </c>
      <c r="B11" s="17">
        <v>45355.0</v>
      </c>
      <c r="C11" s="1" t="str">
        <f t="shared" si="1"/>
        <v>2024-03</v>
      </c>
      <c r="D11" s="1">
        <v>6.422825</v>
      </c>
      <c r="E11" s="1">
        <v>1.125572</v>
      </c>
      <c r="F11" s="1">
        <v>0.377459</v>
      </c>
      <c r="G11" s="1" t="b">
        <v>0</v>
      </c>
    </row>
    <row r="12">
      <c r="A12" s="1" t="s">
        <v>88</v>
      </c>
      <c r="B12" s="17">
        <v>45391.0</v>
      </c>
      <c r="C12" s="1" t="str">
        <f t="shared" si="1"/>
        <v>2024-04</v>
      </c>
      <c r="D12" s="1">
        <v>6.567339</v>
      </c>
      <c r="E12" s="1">
        <v>1.523202</v>
      </c>
      <c r="F12" s="1">
        <v>0.367357</v>
      </c>
      <c r="G12" s="1" t="b">
        <v>0</v>
      </c>
    </row>
    <row r="13">
      <c r="A13" s="1" t="s">
        <v>89</v>
      </c>
      <c r="B13" s="17">
        <v>45425.0</v>
      </c>
      <c r="C13" s="1" t="str">
        <f t="shared" si="1"/>
        <v>2024-05</v>
      </c>
      <c r="D13" s="1">
        <v>9.17045</v>
      </c>
      <c r="E13" s="1">
        <v>1.689572</v>
      </c>
      <c r="F13" s="1">
        <v>0.407636</v>
      </c>
      <c r="G13" s="1" t="b">
        <v>1</v>
      </c>
    </row>
    <row r="14">
      <c r="A14" s="1" t="s">
        <v>90</v>
      </c>
      <c r="B14" s="17">
        <v>45450.0</v>
      </c>
      <c r="C14" s="1" t="str">
        <f t="shared" si="1"/>
        <v>2024-06</v>
      </c>
      <c r="D14" s="1">
        <v>2.24432</v>
      </c>
      <c r="E14" s="1">
        <v>0.424603</v>
      </c>
      <c r="F14" s="1">
        <v>0.298999</v>
      </c>
      <c r="G14" s="1" t="b">
        <v>0</v>
      </c>
    </row>
    <row r="15">
      <c r="A15" s="1" t="s">
        <v>91</v>
      </c>
      <c r="B15" s="17">
        <v>45463.0</v>
      </c>
      <c r="C15" s="1" t="str">
        <f t="shared" si="1"/>
        <v>2024-06</v>
      </c>
      <c r="D15" s="1">
        <v>18.216831</v>
      </c>
      <c r="E15" s="1">
        <v>3.19928</v>
      </c>
      <c r="F15" s="1">
        <v>0.476797</v>
      </c>
      <c r="G15" s="1" t="b">
        <v>1</v>
      </c>
    </row>
    <row r="16">
      <c r="A16" s="1" t="s">
        <v>92</v>
      </c>
      <c r="B16" s="17">
        <v>45547.0</v>
      </c>
      <c r="C16" s="1" t="str">
        <f t="shared" si="1"/>
        <v>2024-09</v>
      </c>
      <c r="D16" s="1">
        <v>22.095267</v>
      </c>
      <c r="E16" s="1">
        <v>4.61942</v>
      </c>
      <c r="F16" s="1">
        <v>0.492955</v>
      </c>
      <c r="G16" s="1" t="b">
        <v>1</v>
      </c>
    </row>
    <row r="17">
      <c r="A17" s="1" t="s">
        <v>93</v>
      </c>
      <c r="B17" s="17">
        <v>45554.0</v>
      </c>
      <c r="C17" s="1" t="str">
        <f t="shared" si="1"/>
        <v>2024-09</v>
      </c>
      <c r="D17" s="1">
        <v>5.165813</v>
      </c>
      <c r="E17" s="1">
        <v>0.9333</v>
      </c>
      <c r="F17" s="1">
        <v>0.357771</v>
      </c>
      <c r="G17" s="1" t="b">
        <v>0</v>
      </c>
    </row>
    <row r="18">
      <c r="A18" s="1" t="s">
        <v>94</v>
      </c>
      <c r="B18" s="17">
        <v>45587.0</v>
      </c>
      <c r="C18" s="1" t="str">
        <f t="shared" si="1"/>
        <v>2024-10</v>
      </c>
      <c r="D18" s="1">
        <v>28.983512</v>
      </c>
      <c r="E18" s="1">
        <v>4.640773</v>
      </c>
      <c r="F18" s="1">
        <v>0.52701</v>
      </c>
      <c r="G18" s="1" t="b">
        <v>1</v>
      </c>
    </row>
    <row r="19">
      <c r="A19" s="1" t="s">
        <v>95</v>
      </c>
      <c r="B19" s="17">
        <v>45631.0</v>
      </c>
      <c r="C19" s="1" t="str">
        <f t="shared" si="1"/>
        <v>2024-12</v>
      </c>
      <c r="D19" s="1">
        <v>39.206576</v>
      </c>
      <c r="E19" s="1">
        <v>5.973358</v>
      </c>
      <c r="F19" s="1">
        <v>0.55932</v>
      </c>
      <c r="G19" s="1" t="b">
        <v>1</v>
      </c>
    </row>
    <row r="20">
      <c r="A20" s="1" t="s">
        <v>96</v>
      </c>
      <c r="B20" s="17">
        <v>45652.0</v>
      </c>
      <c r="C20" s="1" t="str">
        <f t="shared" si="1"/>
        <v>2024-12</v>
      </c>
      <c r="D20" s="1">
        <v>18.472532</v>
      </c>
      <c r="E20" s="1">
        <v>3.860789</v>
      </c>
      <c r="F20" s="1">
        <v>0.473627</v>
      </c>
      <c r="G20" s="1" t="b">
        <v>0</v>
      </c>
    </row>
    <row r="21" ht="15.75" customHeight="1">
      <c r="A21" s="1" t="s">
        <v>97</v>
      </c>
      <c r="B21" s="17">
        <v>45677.0</v>
      </c>
      <c r="C21" s="1" t="str">
        <f t="shared" si="1"/>
        <v>2025-01</v>
      </c>
      <c r="D21" s="1">
        <v>26.932599</v>
      </c>
      <c r="E21" s="1">
        <v>4.332735</v>
      </c>
      <c r="F21" s="1">
        <v>0.519251</v>
      </c>
      <c r="G21" s="1" t="b">
        <v>0</v>
      </c>
    </row>
    <row r="22" ht="15.75" customHeight="1">
      <c r="A22" s="1" t="s">
        <v>98</v>
      </c>
      <c r="B22" s="17">
        <v>45712.0</v>
      </c>
      <c r="C22" s="1" t="str">
        <f t="shared" si="1"/>
        <v>2025-02</v>
      </c>
      <c r="D22" s="1">
        <v>54.226342</v>
      </c>
      <c r="E22" s="1">
        <v>15.156049</v>
      </c>
      <c r="F22" s="1">
        <v>0.599681</v>
      </c>
      <c r="G22" s="1" t="b">
        <v>1</v>
      </c>
    </row>
    <row r="23" ht="15.75" customHeight="1">
      <c r="A23" s="1" t="s">
        <v>99</v>
      </c>
      <c r="B23" s="17">
        <v>45740.0</v>
      </c>
      <c r="C23" s="1" t="str">
        <f t="shared" si="1"/>
        <v>2025-03</v>
      </c>
      <c r="D23" s="1">
        <v>23.117113</v>
      </c>
      <c r="E23" s="1">
        <v>5.305094</v>
      </c>
      <c r="F23" s="1">
        <v>0.495813</v>
      </c>
      <c r="G23" s="1" t="b">
        <v>0</v>
      </c>
    </row>
    <row r="24" ht="15.75" customHeight="1">
      <c r="A24" s="1" t="s">
        <v>100</v>
      </c>
      <c r="B24" s="17">
        <v>45763.0</v>
      </c>
      <c r="C24" s="1" t="str">
        <f t="shared" si="1"/>
        <v>2025-04</v>
      </c>
      <c r="D24" s="1">
        <v>92.179215</v>
      </c>
      <c r="E24" s="1">
        <v>20.389159</v>
      </c>
      <c r="F24" s="1">
        <v>0.654376</v>
      </c>
      <c r="G24" s="1" t="b">
        <v>1</v>
      </c>
    </row>
    <row r="25" ht="15.75" customHeight="1">
      <c r="A25" s="1" t="s">
        <v>101</v>
      </c>
      <c r="B25" s="17">
        <v>45763.0</v>
      </c>
      <c r="C25" s="1" t="str">
        <f t="shared" si="1"/>
        <v>2025-04</v>
      </c>
      <c r="D25" s="1">
        <v>77.568112</v>
      </c>
      <c r="E25" s="1">
        <v>15.047173</v>
      </c>
      <c r="F25" s="1">
        <v>0.639269</v>
      </c>
      <c r="G25" s="1" t="b">
        <v>0</v>
      </c>
    </row>
    <row r="26" ht="15.75" customHeight="1">
      <c r="A26" s="1" t="s">
        <v>102</v>
      </c>
      <c r="B26" s="17">
        <v>45799.0</v>
      </c>
      <c r="C26" s="1" t="str">
        <f t="shared" si="1"/>
        <v>2025-05</v>
      </c>
      <c r="D26" s="1">
        <v>67.705892</v>
      </c>
      <c r="E26" s="1">
        <v>16.659787</v>
      </c>
      <c r="F26" s="1">
        <v>0.619725</v>
      </c>
      <c r="G26" s="1" t="b">
        <v>0</v>
      </c>
    </row>
    <row r="27" ht="15.75" customHeight="1">
      <c r="A27" s="1" t="s">
        <v>103</v>
      </c>
      <c r="B27" s="17">
        <v>45799.0</v>
      </c>
      <c r="C27" s="1" t="str">
        <f t="shared" si="1"/>
        <v>2025-05</v>
      </c>
      <c r="D27" s="1">
        <v>79.862937</v>
      </c>
      <c r="E27" s="1">
        <v>20.300219</v>
      </c>
      <c r="F27" s="1">
        <v>0.639292</v>
      </c>
      <c r="G27" s="1" t="b">
        <v>0</v>
      </c>
    </row>
    <row r="28" ht="15.75" customHeight="1">
      <c r="A28" s="1" t="s">
        <v>104</v>
      </c>
      <c r="B28" s="17">
        <v>45805.0</v>
      </c>
      <c r="C28" s="1" t="str">
        <f t="shared" si="1"/>
        <v>2025-05</v>
      </c>
      <c r="D28" s="1">
        <v>31.167847</v>
      </c>
      <c r="E28" s="1">
        <v>3.750648</v>
      </c>
      <c r="F28" s="1">
        <v>0.537826</v>
      </c>
      <c r="G28" s="1" t="b">
        <v>0</v>
      </c>
    </row>
    <row r="29" ht="15.75" customHeight="1">
      <c r="A29" s="1" t="s">
        <v>105</v>
      </c>
      <c r="B29" s="17">
        <v>45813.0</v>
      </c>
      <c r="C29" s="1" t="str">
        <f t="shared" si="1"/>
        <v>2025-06</v>
      </c>
      <c r="D29" s="1">
        <v>38.734274</v>
      </c>
      <c r="E29" s="1">
        <v>9.199105</v>
      </c>
      <c r="F29" s="1">
        <v>0.5544</v>
      </c>
      <c r="G29" s="1" t="b">
        <v>0</v>
      </c>
    </row>
    <row r="30" ht="15.75" customHeight="1">
      <c r="A30" s="1" t="s">
        <v>106</v>
      </c>
      <c r="B30" s="17">
        <v>45847.0</v>
      </c>
      <c r="C30" s="1" t="str">
        <f t="shared" si="1"/>
        <v>2025-07</v>
      </c>
      <c r="D30" s="1">
        <v>110.075251</v>
      </c>
      <c r="E30" s="1">
        <v>14.91113</v>
      </c>
      <c r="F30" s="1">
        <v>0.665803</v>
      </c>
      <c r="G30" s="1" t="b">
        <v>1</v>
      </c>
    </row>
    <row r="31" ht="15.75" customHeight="1">
      <c r="A31" s="1" t="s">
        <v>107</v>
      </c>
      <c r="B31" s="17">
        <v>45874.0</v>
      </c>
      <c r="C31" s="1" t="str">
        <f t="shared" si="1"/>
        <v>2025-08</v>
      </c>
      <c r="D31" s="1">
        <v>105.499169</v>
      </c>
      <c r="E31" s="1">
        <v>21.087887</v>
      </c>
      <c r="F31" s="1">
        <v>0.668069</v>
      </c>
      <c r="G31" s="1" t="b">
        <v>0</v>
      </c>
    </row>
    <row r="32" ht="15.75" customHeight="1">
      <c r="A32" s="1" t="s">
        <v>108</v>
      </c>
      <c r="B32" s="17">
        <v>45874.0</v>
      </c>
      <c r="C32" s="1" t="str">
        <f t="shared" si="1"/>
        <v>2025-08</v>
      </c>
      <c r="D32" s="1">
        <v>41.983451</v>
      </c>
      <c r="E32" s="1">
        <v>6.632316</v>
      </c>
      <c r="F32" s="1">
        <v>0.56634</v>
      </c>
      <c r="G32" s="1" t="b">
        <v>0</v>
      </c>
    </row>
    <row r="33" ht="15.75" customHeight="1">
      <c r="A33" s="1" t="s">
        <v>109</v>
      </c>
      <c r="B33" s="17">
        <v>45876.0</v>
      </c>
      <c r="C33" s="1" t="str">
        <f t="shared" si="1"/>
        <v>2025-08</v>
      </c>
      <c r="D33" s="1">
        <v>137.318539</v>
      </c>
      <c r="E33" s="1">
        <v>26.372464</v>
      </c>
      <c r="F33" s="1">
        <v>0.696053</v>
      </c>
      <c r="G33" s="1" t="b">
        <v>1</v>
      </c>
    </row>
    <row r="34" ht="15.75" customHeight="1">
      <c r="A34" s="1" t="s">
        <v>110</v>
      </c>
      <c r="B34" s="17">
        <v>45929.0</v>
      </c>
      <c r="C34" s="1" t="str">
        <f t="shared" si="1"/>
        <v>2025-09</v>
      </c>
      <c r="D34" s="1">
        <v>113.303764</v>
      </c>
      <c r="E34" s="1">
        <v>20.151826</v>
      </c>
      <c r="F34" s="1">
        <v>0.673842</v>
      </c>
      <c r="G34" s="1" t="b">
        <v>0</v>
      </c>
    </row>
    <row r="35" ht="15.75" customHeight="1"/>
    <row r="36" ht="15.75" customHeight="1">
      <c r="A36" s="1" t="s">
        <v>111</v>
      </c>
    </row>
    <row r="37" ht="15.75" customHeight="1">
      <c r="A37" s="18" t="s">
        <v>76</v>
      </c>
      <c r="B37" s="18" t="s">
        <v>112</v>
      </c>
      <c r="C37" s="18" t="s">
        <v>113</v>
      </c>
      <c r="D37" s="18" t="s">
        <v>114</v>
      </c>
      <c r="E37" s="18" t="s">
        <v>115</v>
      </c>
      <c r="F37" s="18" t="s">
        <v>116</v>
      </c>
    </row>
    <row r="38" ht="15.75" customHeight="1">
      <c r="A38" s="18" t="str">
        <f t="array" ref="A38:A59">SORT(UNIQUE(C5:C34))</f>
        <v>2019-02</v>
      </c>
      <c r="B38" s="18">
        <f t="shared" ref="B38:B59" si="2">IF(A38="",NA(),MAXIFS($D$5:$D$34,$C$5:$C$34,A38))</f>
        <v>0.039744</v>
      </c>
      <c r="C38" s="18">
        <f t="shared" ref="C38:C59" si="3">IF(A38="",NA(),MAXIFS($E$5:$E$34,$C$5:$C$34,A38))</f>
        <v>0.005646</v>
      </c>
      <c r="D38" s="18">
        <f t="shared" ref="D38:D59" si="4">IF(A38="",NA(),AVERAGEIFS($F$5:$F$34,$C$5:$C$34,A38))</f>
        <v>0.101046</v>
      </c>
      <c r="E38" s="18">
        <f t="shared" ref="E38:E59" si="5">IF(A38="",NA(),LOG10(B38))</f>
        <v>-1.400728426</v>
      </c>
      <c r="F38" s="18">
        <f t="shared" ref="F38:F59" si="6">IF(A38="",NA(),LOG10(C38))</f>
        <v>-2.248259126</v>
      </c>
    </row>
    <row r="39" ht="15.75" customHeight="1">
      <c r="A39" s="18" t="s">
        <v>117</v>
      </c>
      <c r="B39" s="18">
        <f t="shared" si="2"/>
        <v>0.148821</v>
      </c>
      <c r="C39" s="18">
        <f t="shared" si="3"/>
        <v>0.034119</v>
      </c>
      <c r="D39" s="18">
        <f t="shared" si="4"/>
        <v>0.161869</v>
      </c>
      <c r="E39" s="18">
        <f t="shared" si="5"/>
        <v>-0.8273357816</v>
      </c>
      <c r="F39" s="18">
        <f t="shared" si="6"/>
        <v>-1.467003706</v>
      </c>
    </row>
    <row r="40" ht="15.75" customHeight="1">
      <c r="A40" s="18" t="s">
        <v>118</v>
      </c>
      <c r="B40" s="18">
        <f t="shared" si="2"/>
        <v>0.604384</v>
      </c>
      <c r="C40" s="18">
        <f t="shared" si="3"/>
        <v>0.173085</v>
      </c>
      <c r="D40" s="18">
        <f t="shared" si="4"/>
        <v>0.214611</v>
      </c>
      <c r="E40" s="18">
        <f t="shared" si="5"/>
        <v>-0.2186870414</v>
      </c>
      <c r="F40" s="18">
        <f t="shared" si="6"/>
        <v>-0.7617405676</v>
      </c>
    </row>
    <row r="41" ht="15.75" customHeight="1">
      <c r="A41" s="18" t="s">
        <v>119</v>
      </c>
      <c r="B41" s="18">
        <f t="shared" si="2"/>
        <v>5.364045</v>
      </c>
      <c r="C41" s="18">
        <f t="shared" si="3"/>
        <v>0.965175</v>
      </c>
      <c r="D41" s="18">
        <f t="shared" si="4"/>
        <v>0.361067</v>
      </c>
      <c r="E41" s="18">
        <f t="shared" si="5"/>
        <v>0.7294924126</v>
      </c>
      <c r="F41" s="18">
        <f t="shared" si="6"/>
        <v>-0.01539393573</v>
      </c>
    </row>
    <row r="42" ht="15.75" customHeight="1">
      <c r="A42" s="18" t="s">
        <v>120</v>
      </c>
      <c r="B42" s="18">
        <f t="shared" si="2"/>
        <v>8.557433</v>
      </c>
      <c r="C42" s="18">
        <f t="shared" si="3"/>
        <v>1.453006</v>
      </c>
      <c r="D42" s="18">
        <f t="shared" si="4"/>
        <v>0.404329</v>
      </c>
      <c r="E42" s="18">
        <f t="shared" si="5"/>
        <v>0.9323435075</v>
      </c>
      <c r="F42" s="18">
        <f t="shared" si="6"/>
        <v>0.1622674077</v>
      </c>
    </row>
    <row r="43" ht="15.75" customHeight="1">
      <c r="A43" s="18" t="s">
        <v>121</v>
      </c>
      <c r="B43" s="18">
        <f t="shared" si="2"/>
        <v>5.366063</v>
      </c>
      <c r="C43" s="18">
        <f t="shared" si="3"/>
        <v>1.197496</v>
      </c>
      <c r="D43" s="18">
        <f t="shared" si="4"/>
        <v>0.351726</v>
      </c>
      <c r="E43" s="18">
        <f t="shared" si="5"/>
        <v>0.7296557672</v>
      </c>
      <c r="F43" s="18">
        <f t="shared" si="6"/>
        <v>0.07827407141</v>
      </c>
    </row>
    <row r="44" ht="15.75" customHeight="1">
      <c r="A44" s="18" t="s">
        <v>122</v>
      </c>
      <c r="B44" s="18">
        <f t="shared" si="2"/>
        <v>6.422825</v>
      </c>
      <c r="C44" s="18">
        <f t="shared" si="3"/>
        <v>1.125572</v>
      </c>
      <c r="D44" s="18">
        <f t="shared" si="4"/>
        <v>0.377459</v>
      </c>
      <c r="E44" s="18">
        <f t="shared" si="5"/>
        <v>0.8077260891</v>
      </c>
      <c r="F44" s="18">
        <f t="shared" si="6"/>
        <v>0.05137328095</v>
      </c>
    </row>
    <row r="45" ht="15.75" customHeight="1">
      <c r="A45" s="18" t="s">
        <v>123</v>
      </c>
      <c r="B45" s="18">
        <f t="shared" si="2"/>
        <v>6.567339</v>
      </c>
      <c r="C45" s="18">
        <f t="shared" si="3"/>
        <v>1.523202</v>
      </c>
      <c r="D45" s="18">
        <f t="shared" si="4"/>
        <v>0.367357</v>
      </c>
      <c r="E45" s="18">
        <f t="shared" si="5"/>
        <v>0.8173894347</v>
      </c>
      <c r="F45" s="18">
        <f t="shared" si="6"/>
        <v>0.1827575013</v>
      </c>
    </row>
    <row r="46" ht="15.75" customHeight="1">
      <c r="A46" s="18" t="s">
        <v>124</v>
      </c>
      <c r="B46" s="18">
        <f t="shared" si="2"/>
        <v>9.17045</v>
      </c>
      <c r="C46" s="18">
        <f t="shared" si="3"/>
        <v>1.689572</v>
      </c>
      <c r="D46" s="18">
        <f t="shared" si="4"/>
        <v>0.407636</v>
      </c>
      <c r="E46" s="18">
        <f t="shared" si="5"/>
        <v>0.9623906473</v>
      </c>
      <c r="F46" s="18">
        <f t="shared" si="6"/>
        <v>0.2277767037</v>
      </c>
    </row>
    <row r="47" ht="15.75" customHeight="1">
      <c r="A47" s="18" t="s">
        <v>125</v>
      </c>
      <c r="B47" s="18">
        <f t="shared" si="2"/>
        <v>18.216831</v>
      </c>
      <c r="C47" s="18">
        <f t="shared" si="3"/>
        <v>3.19928</v>
      </c>
      <c r="D47" s="18">
        <f t="shared" si="4"/>
        <v>0.387898</v>
      </c>
      <c r="E47" s="18">
        <f t="shared" si="5"/>
        <v>1.260472829</v>
      </c>
      <c r="F47" s="18">
        <f t="shared" si="6"/>
        <v>0.5050522511</v>
      </c>
    </row>
    <row r="48" ht="15.75" customHeight="1">
      <c r="A48" s="18" t="s">
        <v>126</v>
      </c>
      <c r="B48" s="18">
        <f t="shared" si="2"/>
        <v>22.095267</v>
      </c>
      <c r="C48" s="18">
        <f t="shared" si="3"/>
        <v>4.61942</v>
      </c>
      <c r="D48" s="18">
        <f t="shared" si="4"/>
        <v>0.425363</v>
      </c>
      <c r="E48" s="18">
        <f t="shared" si="5"/>
        <v>1.344299254</v>
      </c>
      <c r="F48" s="18">
        <f t="shared" si="6"/>
        <v>0.6645874503</v>
      </c>
    </row>
    <row r="49" ht="15.75" customHeight="1">
      <c r="A49" s="18" t="s">
        <v>127</v>
      </c>
      <c r="B49" s="18">
        <f t="shared" si="2"/>
        <v>28.983512</v>
      </c>
      <c r="C49" s="18">
        <f t="shared" si="3"/>
        <v>4.640773</v>
      </c>
      <c r="D49" s="18">
        <f t="shared" si="4"/>
        <v>0.52701</v>
      </c>
      <c r="E49" s="18">
        <f t="shared" si="5"/>
        <v>1.462151009</v>
      </c>
      <c r="F49" s="18">
        <f t="shared" si="6"/>
        <v>0.6665903257</v>
      </c>
    </row>
    <row r="50" ht="15.75" customHeight="1">
      <c r="A50" s="18" t="s">
        <v>128</v>
      </c>
      <c r="B50" s="18">
        <f t="shared" si="2"/>
        <v>39.206576</v>
      </c>
      <c r="C50" s="18">
        <f t="shared" si="3"/>
        <v>5.973358</v>
      </c>
      <c r="D50" s="18">
        <f t="shared" si="4"/>
        <v>0.5164735</v>
      </c>
      <c r="E50" s="18">
        <f t="shared" si="5"/>
        <v>1.593358916</v>
      </c>
      <c r="F50" s="18">
        <f t="shared" si="6"/>
        <v>0.776218544</v>
      </c>
    </row>
    <row r="51" ht="15.75" customHeight="1">
      <c r="A51" s="18" t="s">
        <v>129</v>
      </c>
      <c r="B51" s="18">
        <f t="shared" si="2"/>
        <v>26.932599</v>
      </c>
      <c r="C51" s="18">
        <f t="shared" si="3"/>
        <v>4.332735</v>
      </c>
      <c r="D51" s="18">
        <f t="shared" si="4"/>
        <v>0.519251</v>
      </c>
      <c r="E51" s="18">
        <f t="shared" si="5"/>
        <v>1.430278265</v>
      </c>
      <c r="F51" s="18">
        <f t="shared" si="6"/>
        <v>0.6367621274</v>
      </c>
    </row>
    <row r="52" ht="15.75" customHeight="1">
      <c r="A52" s="18" t="s">
        <v>130</v>
      </c>
      <c r="B52" s="18">
        <f t="shared" si="2"/>
        <v>54.226342</v>
      </c>
      <c r="C52" s="18">
        <f t="shared" si="3"/>
        <v>15.156049</v>
      </c>
      <c r="D52" s="18">
        <f t="shared" si="4"/>
        <v>0.599681</v>
      </c>
      <c r="E52" s="18">
        <f t="shared" si="5"/>
        <v>1.734210309</v>
      </c>
      <c r="F52" s="18">
        <f t="shared" si="6"/>
        <v>1.180586001</v>
      </c>
    </row>
    <row r="53" ht="15.75" customHeight="1">
      <c r="A53" s="18" t="s">
        <v>131</v>
      </c>
      <c r="B53" s="18">
        <f t="shared" si="2"/>
        <v>23.117113</v>
      </c>
      <c r="C53" s="18">
        <f t="shared" si="3"/>
        <v>5.305094</v>
      </c>
      <c r="D53" s="18">
        <f t="shared" si="4"/>
        <v>0.495813</v>
      </c>
      <c r="E53" s="18">
        <f t="shared" si="5"/>
        <v>1.363933596</v>
      </c>
      <c r="F53" s="18">
        <f t="shared" si="6"/>
        <v>0.7246930835</v>
      </c>
    </row>
    <row r="54" ht="15.75" customHeight="1">
      <c r="A54" s="18" t="s">
        <v>132</v>
      </c>
      <c r="B54" s="18">
        <f t="shared" si="2"/>
        <v>92.179215</v>
      </c>
      <c r="C54" s="18">
        <f t="shared" si="3"/>
        <v>20.389159</v>
      </c>
      <c r="D54" s="18">
        <f t="shared" si="4"/>
        <v>0.6468225</v>
      </c>
      <c r="E54" s="18">
        <f t="shared" si="5"/>
        <v>1.964633005</v>
      </c>
      <c r="F54" s="18">
        <f t="shared" si="6"/>
        <v>1.309399313</v>
      </c>
    </row>
    <row r="55" ht="15.75" customHeight="1">
      <c r="A55" s="18" t="s">
        <v>133</v>
      </c>
      <c r="B55" s="18">
        <f t="shared" si="2"/>
        <v>79.862937</v>
      </c>
      <c r="C55" s="18">
        <f t="shared" si="3"/>
        <v>20.300219</v>
      </c>
      <c r="D55" s="18">
        <f t="shared" si="4"/>
        <v>0.5989476667</v>
      </c>
      <c r="E55" s="18">
        <f t="shared" si="5"/>
        <v>1.902345278</v>
      </c>
      <c r="F55" s="18">
        <f t="shared" si="6"/>
        <v>1.307500723</v>
      </c>
    </row>
    <row r="56" ht="15.75" customHeight="1">
      <c r="A56" s="18" t="s">
        <v>134</v>
      </c>
      <c r="B56" s="18">
        <f t="shared" si="2"/>
        <v>38.734274</v>
      </c>
      <c r="C56" s="18">
        <f t="shared" si="3"/>
        <v>9.199105</v>
      </c>
      <c r="D56" s="18">
        <f t="shared" si="4"/>
        <v>0.5544</v>
      </c>
      <c r="E56" s="18">
        <f t="shared" si="5"/>
        <v>1.58809542</v>
      </c>
      <c r="F56" s="18">
        <f t="shared" si="6"/>
        <v>0.963745576</v>
      </c>
    </row>
    <row r="57" ht="15.75" customHeight="1">
      <c r="A57" s="18" t="s">
        <v>135</v>
      </c>
      <c r="B57" s="18">
        <f t="shared" si="2"/>
        <v>110.075251</v>
      </c>
      <c r="C57" s="18">
        <f t="shared" si="3"/>
        <v>14.91113</v>
      </c>
      <c r="D57" s="18">
        <f t="shared" si="4"/>
        <v>0.665803</v>
      </c>
      <c r="E57" s="18">
        <f t="shared" si="5"/>
        <v>2.041689684</v>
      </c>
      <c r="F57" s="18">
        <f t="shared" si="6"/>
        <v>1.173510557</v>
      </c>
    </row>
    <row r="58" ht="15.75" customHeight="1">
      <c r="A58" s="18" t="s">
        <v>136</v>
      </c>
      <c r="B58" s="18">
        <f t="shared" si="2"/>
        <v>137.318539</v>
      </c>
      <c r="C58" s="18">
        <f t="shared" si="3"/>
        <v>26.372464</v>
      </c>
      <c r="D58" s="18">
        <f t="shared" si="4"/>
        <v>0.6434873333</v>
      </c>
      <c r="E58" s="18">
        <f t="shared" si="5"/>
        <v>2.137729174</v>
      </c>
      <c r="F58" s="18">
        <f t="shared" si="6"/>
        <v>1.421150708</v>
      </c>
    </row>
    <row r="59" ht="15.75" customHeight="1">
      <c r="A59" s="18" t="s">
        <v>137</v>
      </c>
      <c r="B59" s="18">
        <f t="shared" si="2"/>
        <v>113.303764</v>
      </c>
      <c r="C59" s="18">
        <f t="shared" si="3"/>
        <v>20.151826</v>
      </c>
      <c r="D59" s="18">
        <f t="shared" si="4"/>
        <v>0.673842</v>
      </c>
      <c r="E59" s="18">
        <f t="shared" si="5"/>
        <v>2.054244338</v>
      </c>
      <c r="F59" s="18">
        <f t="shared" si="6"/>
        <v>1.304314405</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1"/>
  </hyperlinks>
  <printOptions/>
  <pageMargins bottom="1.0" footer="0.0" header="0.0" left="0.75" right="0.75" top="1.0"/>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 t="s">
        <v>0</v>
      </c>
      <c r="B1" s="2" t="s">
        <v>138</v>
      </c>
      <c r="C1" s="2" t="s">
        <v>139</v>
      </c>
      <c r="D1" s="2" t="s">
        <v>140</v>
      </c>
      <c r="E1" s="2" t="s">
        <v>141</v>
      </c>
    </row>
    <row r="2">
      <c r="A2" s="2">
        <v>2009.0</v>
      </c>
      <c r="B2" s="2" t="s">
        <v>142</v>
      </c>
      <c r="C2" s="2" t="s">
        <v>143</v>
      </c>
      <c r="D2" s="2" t="s">
        <v>144</v>
      </c>
      <c r="E2" s="2" t="s">
        <v>145</v>
      </c>
    </row>
    <row r="3">
      <c r="A3" s="2">
        <v>2011.0</v>
      </c>
      <c r="B3" s="2" t="s">
        <v>146</v>
      </c>
      <c r="C3" s="2" t="s">
        <v>147</v>
      </c>
      <c r="D3" s="2" t="s">
        <v>148</v>
      </c>
      <c r="E3" s="2" t="s">
        <v>149</v>
      </c>
    </row>
    <row r="4">
      <c r="A4" s="2">
        <v>2013.0</v>
      </c>
      <c r="B4" s="2" t="s">
        <v>150</v>
      </c>
      <c r="C4" s="2" t="s">
        <v>151</v>
      </c>
      <c r="D4" s="2" t="s">
        <v>152</v>
      </c>
      <c r="E4" s="2" t="s">
        <v>153</v>
      </c>
    </row>
    <row r="5">
      <c r="A5" s="2">
        <v>2015.0</v>
      </c>
      <c r="B5" s="2" t="s">
        <v>154</v>
      </c>
      <c r="C5" s="2" t="s">
        <v>155</v>
      </c>
      <c r="D5" s="2" t="s">
        <v>156</v>
      </c>
      <c r="E5" s="2" t="s">
        <v>157</v>
      </c>
    </row>
    <row r="6">
      <c r="A6" s="2">
        <v>2017.0</v>
      </c>
      <c r="B6" s="2" t="s">
        <v>158</v>
      </c>
      <c r="C6" s="2" t="s">
        <v>159</v>
      </c>
      <c r="D6" s="2" t="s">
        <v>160</v>
      </c>
      <c r="E6" s="2" t="s">
        <v>161</v>
      </c>
    </row>
    <row r="7">
      <c r="A7" s="2">
        <v>2019.0</v>
      </c>
      <c r="B7" s="2" t="s">
        <v>162</v>
      </c>
      <c r="C7" s="2" t="s">
        <v>163</v>
      </c>
      <c r="D7" s="2" t="s">
        <v>164</v>
      </c>
      <c r="E7" s="2" t="s">
        <v>165</v>
      </c>
    </row>
    <row r="8">
      <c r="A8" s="2">
        <v>2021.0</v>
      </c>
      <c r="B8" s="2" t="s">
        <v>166</v>
      </c>
      <c r="C8" s="2" t="s">
        <v>167</v>
      </c>
      <c r="D8" s="2" t="s">
        <v>168</v>
      </c>
      <c r="E8" s="2" t="s">
        <v>169</v>
      </c>
    </row>
    <row r="9">
      <c r="A9" s="2">
        <v>2023.0</v>
      </c>
      <c r="B9" s="2" t="s">
        <v>170</v>
      </c>
      <c r="C9" s="2" t="s">
        <v>171</v>
      </c>
      <c r="D9" s="2" t="s">
        <v>172</v>
      </c>
      <c r="E9" s="2" t="s">
        <v>173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21.25"/>
    <col customWidth="1" min="3" max="3" width="17.0"/>
    <col customWidth="1" min="4" max="4" width="28.75"/>
    <col customWidth="1" min="5" max="5" width="25.0"/>
    <col customWidth="1" min="6" max="6" width="5.75"/>
    <col customWidth="1" min="7" max="26" width="7.63"/>
  </cols>
  <sheetData>
    <row r="1">
      <c r="A1" s="1" t="s">
        <v>0</v>
      </c>
      <c r="B1" s="1" t="s">
        <v>174</v>
      </c>
      <c r="C1" s="1" t="s">
        <v>175</v>
      </c>
      <c r="D1" s="1" t="s">
        <v>176</v>
      </c>
      <c r="E1" s="1" t="s">
        <v>177</v>
      </c>
      <c r="F1" s="1" t="s">
        <v>178</v>
      </c>
      <c r="G1" s="1" t="s">
        <v>179</v>
      </c>
      <c r="H1" s="1" t="s">
        <v>180</v>
      </c>
      <c r="I1" s="1" t="s">
        <v>181</v>
      </c>
    </row>
    <row r="2">
      <c r="A2" s="1">
        <v>2016.0</v>
      </c>
      <c r="B2" s="1">
        <v>2.0</v>
      </c>
      <c r="C2" s="1">
        <v>2.0</v>
      </c>
      <c r="D2" s="1">
        <v>3.0</v>
      </c>
      <c r="E2" s="1">
        <v>3.0</v>
      </c>
      <c r="F2" s="1">
        <v>1.0</v>
      </c>
      <c r="G2" s="1">
        <v>1.0</v>
      </c>
      <c r="H2" s="1">
        <v>5.0</v>
      </c>
      <c r="I2" s="1">
        <v>17.0</v>
      </c>
    </row>
    <row r="3">
      <c r="A3" s="1">
        <v>2017.0</v>
      </c>
      <c r="B3" s="1">
        <v>3.0</v>
      </c>
      <c r="C3" s="1">
        <v>3.0</v>
      </c>
      <c r="D3" s="1">
        <v>4.0</v>
      </c>
      <c r="E3" s="1">
        <v>4.0</v>
      </c>
      <c r="F3" s="1">
        <v>2.0</v>
      </c>
      <c r="G3" s="1">
        <v>2.0</v>
      </c>
      <c r="H3" s="1">
        <v>8.0</v>
      </c>
      <c r="I3" s="1">
        <v>26.0</v>
      </c>
    </row>
    <row r="4">
      <c r="A4" s="1">
        <v>2018.0</v>
      </c>
      <c r="B4" s="1">
        <v>5.0</v>
      </c>
      <c r="C4" s="1">
        <v>4.0</v>
      </c>
      <c r="D4" s="1">
        <v>5.0</v>
      </c>
      <c r="E4" s="1">
        <v>5.0</v>
      </c>
      <c r="F4" s="1">
        <v>3.0</v>
      </c>
      <c r="G4" s="1">
        <v>3.0</v>
      </c>
      <c r="H4" s="1">
        <v>12.0</v>
      </c>
      <c r="I4" s="1">
        <v>37.0</v>
      </c>
    </row>
    <row r="5">
      <c r="A5" s="1">
        <v>2019.0</v>
      </c>
      <c r="B5" s="1">
        <v>6.0</v>
      </c>
      <c r="C5" s="1">
        <v>5.0</v>
      </c>
      <c r="D5" s="1">
        <v>6.0</v>
      </c>
      <c r="E5" s="1">
        <v>6.0</v>
      </c>
      <c r="F5" s="1">
        <v>4.0</v>
      </c>
      <c r="G5" s="1">
        <v>4.0</v>
      </c>
      <c r="H5" s="1">
        <v>17.0</v>
      </c>
      <c r="I5" s="1">
        <v>48.0</v>
      </c>
    </row>
    <row r="6">
      <c r="A6" s="1">
        <v>2020.0</v>
      </c>
      <c r="B6" s="1">
        <v>7.0</v>
      </c>
      <c r="C6" s="1">
        <v>6.0</v>
      </c>
      <c r="D6" s="1">
        <v>8.0</v>
      </c>
      <c r="E6" s="1">
        <v>7.0</v>
      </c>
      <c r="F6" s="1">
        <v>5.0</v>
      </c>
      <c r="G6" s="1">
        <v>5.0</v>
      </c>
      <c r="H6" s="1">
        <v>23.0</v>
      </c>
      <c r="I6" s="1">
        <v>61.0</v>
      </c>
    </row>
    <row r="7">
      <c r="A7" s="1">
        <v>2021.0</v>
      </c>
      <c r="B7" s="1">
        <v>14.0</v>
      </c>
      <c r="C7" s="1">
        <v>10.0</v>
      </c>
      <c r="D7" s="1">
        <v>15.0</v>
      </c>
      <c r="E7" s="1">
        <v>13.0</v>
      </c>
      <c r="F7" s="1">
        <v>8.0</v>
      </c>
      <c r="G7" s="1">
        <v>7.0</v>
      </c>
      <c r="H7" s="1">
        <v>44.0</v>
      </c>
      <c r="I7" s="1">
        <v>111.0</v>
      </c>
    </row>
    <row r="8">
      <c r="A8" s="1">
        <v>2022.0</v>
      </c>
      <c r="B8" s="1">
        <v>19.0</v>
      </c>
      <c r="C8" s="1">
        <v>14.0</v>
      </c>
      <c r="D8" s="1">
        <v>22.0</v>
      </c>
      <c r="E8" s="1">
        <v>25.0</v>
      </c>
      <c r="F8" s="1">
        <v>12.0</v>
      </c>
      <c r="G8" s="1">
        <v>9.0</v>
      </c>
      <c r="H8" s="1">
        <v>59.0</v>
      </c>
      <c r="I8" s="1">
        <v>160.0</v>
      </c>
    </row>
    <row r="9">
      <c r="A9" s="1">
        <v>2023.0</v>
      </c>
      <c r="B9" s="1">
        <v>27.0</v>
      </c>
      <c r="C9" s="1">
        <v>21.0</v>
      </c>
      <c r="D9" s="1">
        <v>33.0</v>
      </c>
      <c r="E9" s="1">
        <v>42.0</v>
      </c>
      <c r="F9" s="1">
        <v>17.0</v>
      </c>
      <c r="G9" s="1">
        <v>14.0</v>
      </c>
      <c r="H9" s="1">
        <v>68.0</v>
      </c>
      <c r="I9" s="1">
        <v>222.0</v>
      </c>
    </row>
    <row r="10">
      <c r="A10" s="1">
        <v>2024.0</v>
      </c>
      <c r="B10" s="1">
        <v>34.0</v>
      </c>
      <c r="C10" s="1">
        <v>26.0</v>
      </c>
      <c r="D10" s="1">
        <v>46.0</v>
      </c>
      <c r="E10" s="1">
        <v>65.0</v>
      </c>
      <c r="F10" s="1">
        <v>23.0</v>
      </c>
      <c r="G10" s="1">
        <v>19.0</v>
      </c>
      <c r="H10" s="1">
        <v>86.0</v>
      </c>
      <c r="I10" s="1">
        <v>299.0</v>
      </c>
    </row>
    <row r="11">
      <c r="A11" s="1">
        <v>2025.0</v>
      </c>
      <c r="B11" s="1">
        <v>39.0</v>
      </c>
      <c r="C11" s="1">
        <v>31.0</v>
      </c>
      <c r="D11" s="1">
        <v>54.0</v>
      </c>
      <c r="E11" s="1">
        <v>88.0</v>
      </c>
      <c r="F11" s="1">
        <v>28.0</v>
      </c>
      <c r="G11" s="1">
        <v>24.0</v>
      </c>
      <c r="H11" s="1">
        <v>90.0</v>
      </c>
      <c r="I11" s="1">
        <v>354.0</v>
      </c>
    </row>
    <row r="16">
      <c r="A16" s="2" t="s">
        <v>182</v>
      </c>
      <c r="B16" s="11" t="s">
        <v>183</v>
      </c>
    </row>
    <row r="19">
      <c r="A19" s="2" t="s">
        <v>184</v>
      </c>
    </row>
    <row r="21" ht="15.75" customHeight="1">
      <c r="A21" s="1" t="s">
        <v>0</v>
      </c>
      <c r="B21" s="1" t="s">
        <v>185</v>
      </c>
      <c r="C21" s="1" t="s">
        <v>186</v>
      </c>
      <c r="D21" s="1" t="s">
        <v>187</v>
      </c>
    </row>
    <row r="22" ht="15.75" customHeight="1">
      <c r="A22" s="1">
        <v>2016.0</v>
      </c>
      <c r="B22" s="1">
        <v>17.0</v>
      </c>
      <c r="C22" s="1">
        <v>14.0</v>
      </c>
      <c r="D22" s="1">
        <v>3.0</v>
      </c>
    </row>
    <row r="23" ht="15.75" customHeight="1">
      <c r="A23" s="1">
        <v>2017.0</v>
      </c>
      <c r="B23" s="1">
        <v>26.0</v>
      </c>
      <c r="C23" s="1">
        <v>22.0</v>
      </c>
      <c r="D23" s="1">
        <v>4.0</v>
      </c>
    </row>
    <row r="24" ht="15.75" customHeight="1">
      <c r="A24" s="1">
        <v>2018.0</v>
      </c>
      <c r="B24" s="1">
        <v>37.0</v>
      </c>
      <c r="C24" s="1">
        <v>32.0</v>
      </c>
      <c r="D24" s="1">
        <v>5.0</v>
      </c>
    </row>
    <row r="25" ht="15.75" customHeight="1">
      <c r="A25" s="1">
        <v>2019.0</v>
      </c>
      <c r="B25" s="1">
        <v>48.0</v>
      </c>
      <c r="C25" s="1">
        <v>42.0</v>
      </c>
      <c r="D25" s="1">
        <v>6.0</v>
      </c>
    </row>
    <row r="26" ht="15.75" customHeight="1">
      <c r="A26" s="1">
        <v>2020.0</v>
      </c>
      <c r="B26" s="1">
        <v>61.0</v>
      </c>
      <c r="C26" s="1">
        <v>54.0</v>
      </c>
      <c r="D26" s="1">
        <v>7.0</v>
      </c>
    </row>
    <row r="27" ht="15.75" customHeight="1">
      <c r="A27" s="1">
        <v>2021.0</v>
      </c>
      <c r="B27" s="1">
        <v>111.0</v>
      </c>
      <c r="C27" s="1">
        <v>98.0</v>
      </c>
      <c r="D27" s="1">
        <v>13.0</v>
      </c>
    </row>
    <row r="28" ht="15.75" customHeight="1">
      <c r="A28" s="1">
        <v>2022.0</v>
      </c>
      <c r="B28" s="1">
        <v>160.0</v>
      </c>
      <c r="C28" s="1">
        <v>135.0</v>
      </c>
      <c r="D28" s="1">
        <v>25.0</v>
      </c>
    </row>
    <row r="29" ht="15.75" customHeight="1">
      <c r="A29" s="1">
        <v>2023.0</v>
      </c>
      <c r="B29" s="1">
        <v>222.0</v>
      </c>
      <c r="C29" s="1">
        <v>180.0</v>
      </c>
      <c r="D29" s="1">
        <v>42.0</v>
      </c>
    </row>
    <row r="30" ht="15.75" customHeight="1">
      <c r="A30" s="1">
        <v>2024.0</v>
      </c>
      <c r="B30" s="1">
        <v>299.0</v>
      </c>
      <c r="C30" s="1">
        <v>234.0</v>
      </c>
      <c r="D30" s="1">
        <v>65.0</v>
      </c>
    </row>
    <row r="31" ht="15.75" customHeight="1">
      <c r="A31" s="1">
        <v>2025.0</v>
      </c>
      <c r="B31" s="1">
        <v>354.0</v>
      </c>
      <c r="C31" s="1">
        <v>266.0</v>
      </c>
      <c r="D31" s="1">
        <v>88.0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6"/>
  </hyperlinks>
  <printOptions/>
  <pageMargins bottom="1.0" footer="0.0" header="0.0" left="0.75" right="0.75" top="1.0"/>
  <pageSetup orientation="landscape"/>
  <drawing r:id="rId2"/>
</worksheet>
</file>